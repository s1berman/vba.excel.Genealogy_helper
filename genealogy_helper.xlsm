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dfde01351826014/Генеалогия/Источники информации/Бродокалмак/Метрические книги/"/>
    </mc:Choice>
  </mc:AlternateContent>
  <xr:revisionPtr revIDLastSave="1279" documentId="8_{154D9954-88C5-4A9A-BAA4-87606055EB1A}" xr6:coauthVersionLast="47" xr6:coauthVersionMax="47" xr10:uidLastSave="{144140FB-A94D-4AB0-B66F-9A307F498990}"/>
  <bookViews>
    <workbookView xWindow="-120" yWindow="-120" windowWidth="29040" windowHeight="17640" tabRatio="695" activeTab="5" xr2:uid="{00000000-000D-0000-FFFF-FFFF00000000}"/>
  </bookViews>
  <sheets>
    <sheet name="Обработано" sheetId="1" r:id="rId1"/>
    <sheet name="Родившиеся" sheetId="2" r:id="rId2"/>
    <sheet name="Бракосочетавшиеся" sheetId="3" r:id="rId3"/>
    <sheet name="Умершие" sheetId="5" r:id="rId4"/>
    <sheet name="Рев сказки" sheetId="12" r:id="rId5"/>
    <sheet name="Все найденные персоны" sheetId="7" r:id="rId6"/>
    <sheet name="Список семей 1920" sheetId="9" r:id="rId7"/>
    <sheet name="Список избирателей" sheetId="10" r:id="rId8"/>
    <sheet name="Деревни" sheetId="11" r:id="rId9"/>
  </sheets>
  <definedNames>
    <definedName name="_xlnm._FilterDatabase" localSheetId="5" hidden="1">'Все найденные персоны'!$A$1:$AD$687</definedName>
    <definedName name="_xlnm._FilterDatabase" localSheetId="1" hidden="1">Родившиеся!$A$1:$S$53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8" i="3" l="1"/>
  <c r="P58" i="3" s="1"/>
  <c r="AA57" i="3"/>
  <c r="P57" i="3" s="1"/>
  <c r="AA56" i="3"/>
  <c r="P56" i="3" s="1"/>
  <c r="AA55" i="3"/>
  <c r="P55" i="3" s="1"/>
  <c r="AA54" i="3"/>
  <c r="P54" i="3" s="1"/>
  <c r="AA53" i="3"/>
  <c r="P53" i="3" s="1"/>
  <c r="AA52" i="3"/>
  <c r="H52" i="3" s="1"/>
  <c r="H58" i="3" l="1"/>
  <c r="H57" i="3"/>
  <c r="H56" i="3"/>
  <c r="H55" i="3"/>
  <c r="H54" i="3"/>
  <c r="H53" i="3"/>
  <c r="P52" i="3"/>
  <c r="AA51" i="3"/>
  <c r="P51" i="3" s="1"/>
  <c r="AA50" i="3"/>
  <c r="P50" i="3" s="1"/>
  <c r="AA49" i="3"/>
  <c r="H49" i="3" s="1"/>
  <c r="AA48" i="3"/>
  <c r="P48" i="3" s="1"/>
  <c r="AA47" i="3"/>
  <c r="H47" i="3" s="1"/>
  <c r="AA46" i="3"/>
  <c r="H46" i="3" s="1"/>
  <c r="AA45" i="3"/>
  <c r="H45" i="3" s="1"/>
  <c r="AA44" i="3"/>
  <c r="H44" i="3" s="1"/>
  <c r="AA43" i="3"/>
  <c r="H43" i="3" s="1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2" i="3"/>
  <c r="T99" i="2"/>
  <c r="T98" i="2"/>
  <c r="N31" i="5"/>
  <c r="N30" i="5"/>
  <c r="T97" i="2"/>
  <c r="T96" i="2"/>
  <c r="T95" i="2"/>
  <c r="T94" i="2"/>
  <c r="AA42" i="3"/>
  <c r="H42" i="3" s="1"/>
  <c r="AA41" i="3"/>
  <c r="P41" i="3" s="1"/>
  <c r="AA40" i="3"/>
  <c r="H40" i="3" s="1"/>
  <c r="AA39" i="3"/>
  <c r="P39" i="3" s="1"/>
  <c r="AA38" i="3"/>
  <c r="P38" i="3" s="1"/>
  <c r="AA37" i="3"/>
  <c r="P37" i="3" s="1"/>
  <c r="AA36" i="3"/>
  <c r="H36" i="3" s="1"/>
  <c r="AA35" i="3"/>
  <c r="H35" i="3" s="1"/>
  <c r="AA34" i="3"/>
  <c r="P34" i="3" s="1"/>
  <c r="AA33" i="3"/>
  <c r="H33" i="3" s="1"/>
  <c r="AA32" i="3"/>
  <c r="H32" i="3" s="1"/>
  <c r="AA31" i="3"/>
  <c r="H31" i="3" s="1"/>
  <c r="AA30" i="3"/>
  <c r="H30" i="3" s="1"/>
  <c r="AA29" i="3"/>
  <c r="H29" i="3" s="1"/>
  <c r="AA28" i="3"/>
  <c r="P28" i="3" s="1"/>
  <c r="AA27" i="3"/>
  <c r="P27" i="3" s="1"/>
  <c r="AA26" i="3"/>
  <c r="P26" i="3" s="1"/>
  <c r="AA25" i="3"/>
  <c r="P25" i="3" s="1"/>
  <c r="AA24" i="3"/>
  <c r="P24" i="3" s="1"/>
  <c r="AA23" i="3"/>
  <c r="H23" i="3" s="1"/>
  <c r="AA22" i="3"/>
  <c r="H22" i="3" s="1"/>
  <c r="N29" i="5"/>
  <c r="J28" i="5"/>
  <c r="AA21" i="3"/>
  <c r="H21" i="3" s="1"/>
  <c r="AA20" i="3"/>
  <c r="H20" i="3" s="1"/>
  <c r="AA19" i="3"/>
  <c r="H19" i="3" s="1"/>
  <c r="AA18" i="3"/>
  <c r="H18" i="3" s="1"/>
  <c r="AA17" i="3"/>
  <c r="H17" i="3" s="1"/>
  <c r="AA16" i="3"/>
  <c r="H16" i="3" s="1"/>
  <c r="AA15" i="3"/>
  <c r="P15" i="3" s="1"/>
  <c r="AA14" i="3"/>
  <c r="H14" i="3" s="1"/>
  <c r="AA13" i="3"/>
  <c r="P13" i="3" s="1"/>
  <c r="T93" i="2"/>
  <c r="AA12" i="3"/>
  <c r="H12" i="3" s="1"/>
  <c r="N28" i="5"/>
  <c r="J27" i="5"/>
  <c r="N27" i="5"/>
  <c r="N26" i="5"/>
  <c r="AA11" i="3"/>
  <c r="P11" i="3" s="1"/>
  <c r="AA10" i="3"/>
  <c r="H10" i="3" s="1"/>
  <c r="AA9" i="3"/>
  <c r="H9" i="3" s="1"/>
  <c r="AA8" i="3"/>
  <c r="H8" i="3" s="1"/>
  <c r="AA7" i="3"/>
  <c r="P7" i="3" s="1"/>
  <c r="H420" i="12"/>
  <c r="H421" i="12"/>
  <c r="H422" i="12"/>
  <c r="H423" i="12"/>
  <c r="H424" i="12"/>
  <c r="H425" i="12"/>
  <c r="C420" i="12"/>
  <c r="C421" i="12"/>
  <c r="C423" i="12"/>
  <c r="C424" i="12"/>
  <c r="C419" i="12"/>
  <c r="H51" i="3" l="1"/>
  <c r="H50" i="3"/>
  <c r="P49" i="3"/>
  <c r="H48" i="3"/>
  <c r="AF1" i="3"/>
  <c r="P47" i="3"/>
  <c r="P46" i="3"/>
  <c r="AD1" i="3"/>
  <c r="AE1" i="3"/>
  <c r="P45" i="3"/>
  <c r="P44" i="3"/>
  <c r="P43" i="3"/>
  <c r="P42" i="3"/>
  <c r="H41" i="3"/>
  <c r="P40" i="3"/>
  <c r="H39" i="3"/>
  <c r="H38" i="3"/>
  <c r="H37" i="3"/>
  <c r="P36" i="3"/>
  <c r="P35" i="3"/>
  <c r="H34" i="3"/>
  <c r="P33" i="3"/>
  <c r="P32" i="3"/>
  <c r="P31" i="3"/>
  <c r="P30" i="3"/>
  <c r="P29" i="3"/>
  <c r="H28" i="3"/>
  <c r="H27" i="3"/>
  <c r="H26" i="3"/>
  <c r="H25" i="3"/>
  <c r="H24" i="3"/>
  <c r="P23" i="3"/>
  <c r="P22" i="3"/>
  <c r="P21" i="3"/>
  <c r="P20" i="3"/>
  <c r="P19" i="3"/>
  <c r="P18" i="3"/>
  <c r="P17" i="3"/>
  <c r="P16" i="3"/>
  <c r="H15" i="3"/>
  <c r="P14" i="3"/>
  <c r="H13" i="3"/>
  <c r="P12" i="3"/>
  <c r="H11" i="3"/>
  <c r="P10" i="3"/>
  <c r="P9" i="3"/>
  <c r="P8" i="3"/>
  <c r="H7" i="3"/>
  <c r="AA6" i="3"/>
  <c r="H6" i="3" s="1"/>
  <c r="AA5" i="3"/>
  <c r="H5" i="3" s="1"/>
  <c r="T92" i="2"/>
  <c r="C435" i="12"/>
  <c r="C431" i="12"/>
  <c r="C432" i="12"/>
  <c r="C433" i="12"/>
  <c r="C434" i="12"/>
  <c r="C436" i="12"/>
  <c r="C437" i="12"/>
  <c r="C430" i="12"/>
  <c r="C429" i="12"/>
  <c r="C428" i="12"/>
  <c r="C426" i="12"/>
  <c r="C427" i="12"/>
  <c r="H427" i="12"/>
  <c r="H428" i="12"/>
  <c r="H429" i="12"/>
  <c r="H430" i="12"/>
  <c r="H431" i="12"/>
  <c r="H426" i="12"/>
  <c r="H432" i="12"/>
  <c r="H433" i="12"/>
  <c r="H434" i="12"/>
  <c r="H436" i="12"/>
  <c r="H437" i="12"/>
  <c r="C425" i="12"/>
  <c r="H416" i="12"/>
  <c r="H417" i="12"/>
  <c r="H418" i="12"/>
  <c r="H419" i="12"/>
  <c r="H438" i="12"/>
  <c r="H439" i="12"/>
  <c r="H440" i="12"/>
  <c r="H441" i="12"/>
  <c r="H442" i="12"/>
  <c r="H443" i="12"/>
  <c r="H444" i="12"/>
  <c r="H445" i="12"/>
  <c r="H446" i="12"/>
  <c r="H447" i="12"/>
  <c r="H448" i="12"/>
  <c r="H449" i="12"/>
  <c r="H450" i="12"/>
  <c r="H451" i="12"/>
  <c r="H452" i="12"/>
  <c r="H453" i="12"/>
  <c r="H454" i="12"/>
  <c r="H455" i="12"/>
  <c r="H456" i="12"/>
  <c r="H457" i="12"/>
  <c r="H458" i="12"/>
  <c r="H459" i="12"/>
  <c r="H460" i="12"/>
  <c r="H461" i="12"/>
  <c r="H462" i="12"/>
  <c r="H463" i="12"/>
  <c r="H464" i="12"/>
  <c r="H465" i="12"/>
  <c r="H466" i="12"/>
  <c r="H467" i="12"/>
  <c r="H468" i="12"/>
  <c r="H469" i="12"/>
  <c r="H470" i="12"/>
  <c r="H471" i="12"/>
  <c r="H472" i="12"/>
  <c r="H473" i="12"/>
  <c r="H474" i="12"/>
  <c r="H475" i="12"/>
  <c r="H476" i="12"/>
  <c r="H477" i="12"/>
  <c r="H478" i="12"/>
  <c r="H479" i="12"/>
  <c r="H480" i="12"/>
  <c r="H481" i="12"/>
  <c r="H482" i="12"/>
  <c r="H483" i="12"/>
  <c r="H484" i="12"/>
  <c r="H485" i="12"/>
  <c r="H486" i="12"/>
  <c r="H487" i="12"/>
  <c r="H488" i="12"/>
  <c r="H489" i="12"/>
  <c r="H490" i="12"/>
  <c r="H491" i="12"/>
  <c r="H492" i="12"/>
  <c r="H493" i="12"/>
  <c r="H494" i="12"/>
  <c r="H495" i="12"/>
  <c r="H496" i="12"/>
  <c r="H497" i="12"/>
  <c r="H498" i="12"/>
  <c r="H499" i="12"/>
  <c r="H500" i="12"/>
  <c r="H501" i="12"/>
  <c r="H502" i="12"/>
  <c r="H503" i="12"/>
  <c r="H504" i="12"/>
  <c r="H505" i="12"/>
  <c r="H506" i="12"/>
  <c r="H507" i="12"/>
  <c r="H508" i="12"/>
  <c r="H509" i="12"/>
  <c r="H510" i="12"/>
  <c r="H511" i="12"/>
  <c r="H512" i="12"/>
  <c r="H513" i="12"/>
  <c r="H514" i="12"/>
  <c r="H515" i="12"/>
  <c r="H516" i="12"/>
  <c r="H517" i="12"/>
  <c r="H518" i="12"/>
  <c r="H519" i="12"/>
  <c r="H520" i="12"/>
  <c r="H521" i="12"/>
  <c r="H522" i="12"/>
  <c r="H523" i="12"/>
  <c r="H524" i="12"/>
  <c r="H525" i="12"/>
  <c r="H526" i="12"/>
  <c r="H527" i="12"/>
  <c r="H528" i="12"/>
  <c r="H529" i="12"/>
  <c r="H530" i="12"/>
  <c r="H531" i="12"/>
  <c r="H532" i="12"/>
  <c r="H533" i="12"/>
  <c r="H534" i="12"/>
  <c r="H535" i="12"/>
  <c r="H536" i="12"/>
  <c r="H537" i="12"/>
  <c r="H538" i="12"/>
  <c r="H539" i="12"/>
  <c r="H540" i="12"/>
  <c r="H541" i="12"/>
  <c r="H542" i="12"/>
  <c r="H543" i="12"/>
  <c r="H544" i="12"/>
  <c r="H545" i="12"/>
  <c r="H546" i="12"/>
  <c r="H547" i="12"/>
  <c r="H548" i="12"/>
  <c r="H549" i="12"/>
  <c r="H550" i="12"/>
  <c r="H551" i="12"/>
  <c r="H552" i="12"/>
  <c r="H553" i="12"/>
  <c r="H554" i="12"/>
  <c r="H555" i="12"/>
  <c r="H556" i="12"/>
  <c r="H557" i="12"/>
  <c r="H558" i="12"/>
  <c r="H559" i="12"/>
  <c r="H560" i="12"/>
  <c r="H561" i="12"/>
  <c r="H562" i="12"/>
  <c r="H563" i="12"/>
  <c r="H564" i="12"/>
  <c r="H565" i="12"/>
  <c r="H566" i="12"/>
  <c r="H567" i="12"/>
  <c r="H568" i="12"/>
  <c r="H569" i="12"/>
  <c r="H570" i="12"/>
  <c r="H571" i="12"/>
  <c r="H572" i="12"/>
  <c r="H573" i="12"/>
  <c r="H574" i="12"/>
  <c r="H575" i="12"/>
  <c r="H576" i="12"/>
  <c r="H577" i="12"/>
  <c r="H578" i="12"/>
  <c r="H579" i="12"/>
  <c r="H580" i="12"/>
  <c r="H581" i="12"/>
  <c r="H582" i="12"/>
  <c r="H583" i="12"/>
  <c r="H584" i="12"/>
  <c r="H585" i="12"/>
  <c r="H586" i="12"/>
  <c r="H587" i="12"/>
  <c r="H588" i="12"/>
  <c r="H589" i="12"/>
  <c r="H590" i="12"/>
  <c r="H591" i="12"/>
  <c r="H592" i="12"/>
  <c r="H593" i="12"/>
  <c r="H594" i="12"/>
  <c r="H595" i="12"/>
  <c r="H596" i="12"/>
  <c r="H597" i="12"/>
  <c r="H598" i="12"/>
  <c r="H599" i="12"/>
  <c r="H600" i="12"/>
  <c r="H601" i="12"/>
  <c r="H602" i="12"/>
  <c r="H603" i="12"/>
  <c r="H604" i="12"/>
  <c r="H605" i="12"/>
  <c r="H606" i="12"/>
  <c r="H607" i="12"/>
  <c r="H608" i="12"/>
  <c r="H609" i="12"/>
  <c r="H610" i="12"/>
  <c r="H611" i="12"/>
  <c r="H612" i="12"/>
  <c r="H613" i="12"/>
  <c r="H614" i="12"/>
  <c r="H615" i="12"/>
  <c r="H616" i="12"/>
  <c r="H617" i="12"/>
  <c r="H618" i="12"/>
  <c r="H619" i="12"/>
  <c r="P6" i="3" l="1"/>
  <c r="P5" i="3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H415" i="12"/>
  <c r="C396" i="12"/>
  <c r="C395" i="12"/>
  <c r="C394" i="12"/>
  <c r="C206" i="12"/>
  <c r="C217" i="12"/>
  <c r="C218" i="12"/>
  <c r="C213" i="12"/>
  <c r="C214" i="12"/>
  <c r="C215" i="12"/>
  <c r="C209" i="12"/>
  <c r="C210" i="12"/>
  <c r="C211" i="12"/>
  <c r="C212" i="12"/>
  <c r="C216" i="12"/>
  <c r="C219" i="12"/>
  <c r="C208" i="12"/>
  <c r="C207" i="12"/>
  <c r="T91" i="2" l="1"/>
  <c r="C30" i="12"/>
  <c r="C27" i="12"/>
  <c r="C28" i="12"/>
  <c r="C29" i="12"/>
  <c r="C23" i="12"/>
  <c r="C24" i="12"/>
  <c r="C25" i="12"/>
  <c r="C22" i="12"/>
  <c r="C17" i="12"/>
  <c r="C18" i="12"/>
  <c r="C19" i="12"/>
  <c r="C20" i="12"/>
  <c r="C21" i="12"/>
  <c r="C26" i="12"/>
  <c r="C16" i="12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3" i="9"/>
  <c r="R334" i="9"/>
  <c r="R335" i="9"/>
  <c r="R336" i="9"/>
  <c r="R337" i="9"/>
  <c r="R338" i="9"/>
  <c r="R339" i="9"/>
  <c r="R340" i="9"/>
  <c r="R341" i="9"/>
  <c r="R342" i="9"/>
  <c r="R343" i="9"/>
  <c r="R344" i="9"/>
  <c r="R345" i="9"/>
  <c r="R346" i="9"/>
  <c r="R347" i="9"/>
  <c r="R348" i="9"/>
  <c r="R349" i="9"/>
  <c r="R350" i="9"/>
  <c r="R351" i="9"/>
  <c r="R352" i="9"/>
  <c r="R353" i="9"/>
  <c r="R354" i="9"/>
  <c r="R355" i="9"/>
  <c r="R356" i="9"/>
  <c r="R357" i="9"/>
  <c r="R358" i="9"/>
  <c r="R359" i="9"/>
  <c r="R360" i="9"/>
  <c r="R361" i="9"/>
  <c r="R362" i="9"/>
  <c r="R363" i="9"/>
  <c r="R364" i="9"/>
  <c r="R365" i="9"/>
  <c r="R366" i="9"/>
  <c r="R367" i="9"/>
  <c r="R368" i="9"/>
  <c r="R369" i="9"/>
  <c r="R370" i="9"/>
  <c r="R371" i="9"/>
  <c r="R372" i="9"/>
  <c r="R373" i="9"/>
  <c r="R374" i="9"/>
  <c r="R375" i="9"/>
  <c r="R376" i="9"/>
  <c r="R377" i="9"/>
  <c r="R378" i="9"/>
  <c r="R379" i="9"/>
  <c r="R380" i="9"/>
  <c r="R381" i="9"/>
  <c r="R382" i="9"/>
  <c r="R383" i="9"/>
  <c r="R384" i="9"/>
  <c r="R385" i="9"/>
  <c r="R386" i="9"/>
  <c r="R387" i="9"/>
  <c r="R388" i="9"/>
  <c r="R389" i="9"/>
  <c r="R390" i="9"/>
  <c r="R391" i="9"/>
  <c r="R392" i="9"/>
  <c r="R393" i="9"/>
  <c r="R394" i="9"/>
  <c r="R395" i="9"/>
  <c r="R396" i="9"/>
  <c r="R397" i="9"/>
  <c r="R398" i="9"/>
  <c r="R399" i="9"/>
  <c r="R400" i="9"/>
  <c r="R401" i="9"/>
  <c r="R402" i="9"/>
  <c r="R403" i="9"/>
  <c r="R404" i="9"/>
  <c r="R405" i="9"/>
  <c r="R406" i="9"/>
  <c r="R407" i="9"/>
  <c r="R408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5" i="9"/>
  <c r="R436" i="9"/>
  <c r="R437" i="9"/>
  <c r="R438" i="9"/>
  <c r="R439" i="9"/>
  <c r="R440" i="9"/>
  <c r="R441" i="9"/>
  <c r="R442" i="9"/>
  <c r="R443" i="9"/>
  <c r="R444" i="9"/>
  <c r="R445" i="9"/>
  <c r="R446" i="9"/>
  <c r="R447" i="9"/>
  <c r="R448" i="9"/>
  <c r="R449" i="9"/>
  <c r="R450" i="9"/>
  <c r="R451" i="9"/>
  <c r="R452" i="9"/>
  <c r="R453" i="9"/>
  <c r="R454" i="9"/>
  <c r="R455" i="9"/>
  <c r="R456" i="9"/>
  <c r="R457" i="9"/>
  <c r="R458" i="9"/>
  <c r="R459" i="9"/>
  <c r="R460" i="9"/>
  <c r="R461" i="9"/>
  <c r="R462" i="9"/>
  <c r="R463" i="9"/>
  <c r="R464" i="9"/>
  <c r="R465" i="9"/>
  <c r="R466" i="9"/>
  <c r="R467" i="9"/>
  <c r="R468" i="9"/>
  <c r="R469" i="9"/>
  <c r="R470" i="9"/>
  <c r="R471" i="9"/>
  <c r="R472" i="9"/>
  <c r="R473" i="9"/>
  <c r="R474" i="9"/>
  <c r="R475" i="9"/>
  <c r="R476" i="9"/>
  <c r="R477" i="9"/>
  <c r="R478" i="9"/>
  <c r="R479" i="9"/>
  <c r="R480" i="9"/>
  <c r="R481" i="9"/>
  <c r="R482" i="9"/>
  <c r="R483" i="9"/>
  <c r="R484" i="9"/>
  <c r="R485" i="9"/>
  <c r="R486" i="9"/>
  <c r="R487" i="9"/>
  <c r="R488" i="9"/>
  <c r="R489" i="9"/>
  <c r="R490" i="9"/>
  <c r="R491" i="9"/>
  <c r="R492" i="9"/>
  <c r="R493" i="9"/>
  <c r="R494" i="9"/>
  <c r="R495" i="9"/>
  <c r="R496" i="9"/>
  <c r="R497" i="9"/>
  <c r="R498" i="9"/>
  <c r="R499" i="9"/>
  <c r="R500" i="9"/>
  <c r="R501" i="9"/>
  <c r="R502" i="9"/>
  <c r="R503" i="9"/>
  <c r="R504" i="9"/>
  <c r="R505" i="9"/>
  <c r="R506" i="9"/>
  <c r="R507" i="9"/>
  <c r="R508" i="9"/>
  <c r="R509" i="9"/>
  <c r="R510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87" i="9"/>
  <c r="R588" i="9"/>
  <c r="R589" i="9"/>
  <c r="R590" i="9"/>
  <c r="R591" i="9"/>
  <c r="R592" i="9"/>
  <c r="R593" i="9"/>
  <c r="R594" i="9"/>
  <c r="R595" i="9"/>
  <c r="R596" i="9"/>
  <c r="R597" i="9"/>
  <c r="R598" i="9"/>
  <c r="R599" i="9"/>
  <c r="R600" i="9"/>
  <c r="R601" i="9"/>
  <c r="R602" i="9"/>
  <c r="R603" i="9"/>
  <c r="R604" i="9"/>
  <c r="R605" i="9"/>
  <c r="R606" i="9"/>
  <c r="R607" i="9"/>
  <c r="R608" i="9"/>
  <c r="R609" i="9"/>
  <c r="R610" i="9"/>
  <c r="R611" i="9"/>
  <c r="R612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2" i="9"/>
  <c r="R703" i="9"/>
  <c r="R704" i="9"/>
  <c r="R705" i="9"/>
  <c r="R706" i="9"/>
  <c r="R707" i="9"/>
  <c r="R708" i="9"/>
  <c r="R709" i="9"/>
  <c r="R710" i="9"/>
  <c r="R711" i="9"/>
  <c r="R712" i="9"/>
  <c r="R713" i="9"/>
  <c r="R714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2" i="9"/>
  <c r="X8" i="7" a="1"/>
  <c r="X8" i="7" s="1"/>
  <c r="T90" i="2"/>
  <c r="T89" i="2"/>
  <c r="T88" i="2"/>
  <c r="T87" i="2"/>
  <c r="T86" i="2"/>
  <c r="T85" i="2"/>
  <c r="T84" i="2"/>
  <c r="T83" i="2"/>
  <c r="T9" i="2"/>
  <c r="G3" i="10"/>
  <c r="F3" i="10"/>
  <c r="N25" i="5"/>
  <c r="J25" i="5" s="1"/>
  <c r="N24" i="5"/>
  <c r="J24" i="5" s="1"/>
  <c r="N23" i="5"/>
  <c r="J23" i="5" s="1"/>
  <c r="N22" i="5"/>
  <c r="N21" i="5"/>
  <c r="N20" i="5"/>
  <c r="N19" i="5"/>
  <c r="J19" i="5" s="1"/>
  <c r="N18" i="5"/>
  <c r="N17" i="5"/>
  <c r="J17" i="5" s="1"/>
  <c r="N16" i="5"/>
  <c r="N15" i="5"/>
  <c r="N14" i="5"/>
  <c r="J14" i="5"/>
  <c r="N13" i="5"/>
  <c r="J13" i="5"/>
  <c r="N12" i="5"/>
  <c r="J12" i="5"/>
  <c r="N11" i="5"/>
  <c r="J11" i="5"/>
  <c r="N10" i="5"/>
  <c r="J10" i="5"/>
  <c r="N9" i="5"/>
  <c r="J9" i="5"/>
  <c r="N8" i="5"/>
  <c r="N7" i="5"/>
  <c r="N6" i="5"/>
  <c r="J6" i="5"/>
  <c r="N5" i="5"/>
  <c r="J5" i="5"/>
  <c r="N4" i="5"/>
  <c r="J4" i="5"/>
  <c r="N3" i="5"/>
  <c r="N2" i="5"/>
  <c r="AA4" i="3"/>
  <c r="P4" i="3" s="1"/>
  <c r="AA3" i="3"/>
  <c r="H3" i="3" s="1"/>
  <c r="P3" i="3"/>
  <c r="AA2" i="3"/>
  <c r="P2" i="3" s="1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8" i="2"/>
  <c r="T7" i="2"/>
  <c r="T6" i="2"/>
  <c r="T5" i="2"/>
  <c r="T4" i="2"/>
  <c r="T3" i="2"/>
  <c r="T2" i="2"/>
  <c r="H4" i="3" l="1"/>
  <c r="H2" i="3"/>
  <c r="R758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<sst xmlns="http://schemas.openxmlformats.org/spreadsheetml/2006/main" count="16129" uniqueCount="5237">
  <si>
    <t>Год</t>
  </si>
  <si>
    <t>Крещение</t>
  </si>
  <si>
    <t>Родившийся</t>
  </si>
  <si>
    <t>насел. пункт</t>
  </si>
  <si>
    <t>Отец</t>
  </si>
  <si>
    <t>Мать</t>
  </si>
  <si>
    <t>насел. пункт. кр. отец</t>
  </si>
  <si>
    <t>Крестный отец</t>
  </si>
  <si>
    <t>насел. Пункт. кр. мать</t>
  </si>
  <si>
    <t>Крестная мать</t>
  </si>
  <si>
    <t>просмотренные фамилии</t>
  </si>
  <si>
    <t>родство</t>
  </si>
  <si>
    <t>дата</t>
  </si>
  <si>
    <t>нас. пункт св. невесты</t>
  </si>
  <si>
    <t>Бродоколмак</t>
  </si>
  <si>
    <t>запись №</t>
  </si>
  <si>
    <t>Фамилии</t>
  </si>
  <si>
    <t>рождение</t>
  </si>
  <si>
    <t>да</t>
  </si>
  <si>
    <t>Родители невесты</t>
  </si>
  <si>
    <t>№ брака</t>
  </si>
  <si>
    <t>обработано до</t>
  </si>
  <si>
    <t>-</t>
  </si>
  <si>
    <t>ссылка на документ</t>
  </si>
  <si>
    <t>E:\Генеалогия\Бродокалмак\1915 ОГАЧО И226-9-167 полный\полный\169</t>
  </si>
  <si>
    <t>не подтверждено</t>
  </si>
  <si>
    <t>E:\Генеалогия\Бродокалмак\1915 ОГАЧО И226-9-167 полный\полный\176</t>
  </si>
  <si>
    <t>E:\Генеалогия\Бродокалмак\1915 ОГАЧО И226-9-167 полный\полный\177</t>
  </si>
  <si>
    <t>Увольцева Наталья Дмитриевна</t>
  </si>
  <si>
    <t>Анна Гавриловна Михайловна</t>
  </si>
  <si>
    <t>E:\Генеалогия\Бродокалмак\1915 ОГАЧО И226-9-167 полный\полный\180</t>
  </si>
  <si>
    <t>E:\Генеалогия\Бродокалмак\1915 ОГАЧО И226-9-167 полный\полный\184</t>
  </si>
  <si>
    <t>Решетникова Александра Михайловна</t>
  </si>
  <si>
    <t>E:\Генеалогия\Бродокалмак\1915 ОГАЧО И226-9-167 полный\полный\185</t>
  </si>
  <si>
    <t>E:\Генеалогия\Бродокалмак\1915 ОГАЧО И226-9-167 полный\полный\188</t>
  </si>
  <si>
    <t>? Даниловна</t>
  </si>
  <si>
    <t>не подтверждено. Возможно брат Василию</t>
  </si>
  <si>
    <t>Севастьянова Таисия Алексеевна</t>
  </si>
  <si>
    <t>Севастьянов Алексей Григорьевич</t>
  </si>
  <si>
    <t>E:\Генеалогия\Бродокалмак\1915 ОГАЧО И226-9-167 полный\полный\189</t>
  </si>
  <si>
    <t>189</t>
  </si>
  <si>
    <t>Погребение</t>
  </si>
  <si>
    <t>Местность</t>
  </si>
  <si>
    <t>Имя умершего</t>
  </si>
  <si>
    <t>Возраст</t>
  </si>
  <si>
    <t>Причина смерти</t>
  </si>
  <si>
    <t>Дата Смерти</t>
  </si>
  <si>
    <t>Старость</t>
  </si>
  <si>
    <t>Нет</t>
  </si>
  <si>
    <t>Родство</t>
  </si>
  <si>
    <t>Неопределенно</t>
  </si>
  <si>
    <t>?</t>
  </si>
  <si>
    <t>E:\Генеалогия\Бродокалмак\1919 ОГАЧО И226-9-179 полный\Без папок\017 авгa 001.JPG</t>
  </si>
  <si>
    <t>E:\Генеалогия\Бродокалмак\1919 ОГАЧО И226-9-179 полный\Без папок\011a 001.JPG</t>
  </si>
  <si>
    <t>от слабости</t>
  </si>
  <si>
    <t>E:\Генеалогия\Бродокалмак\1919 ОГАЧО И226-9-179 полный\Без папок\111a 001.JPG</t>
  </si>
  <si>
    <t>неопределенно</t>
  </si>
  <si>
    <t>от старости</t>
  </si>
  <si>
    <t>E:\Генеалогия\Бродокалмак\1919 ОГАЧО И226-9-179 полный\Без папок\022 сенa 001.JPG</t>
  </si>
  <si>
    <t>025a 001</t>
  </si>
  <si>
    <t>16/01/1882</t>
  </si>
  <si>
    <t>14/01/1882</t>
  </si>
  <si>
    <t>Кузнецов Иван Афанасьвич</t>
  </si>
  <si>
    <t>20/01/1882</t>
  </si>
  <si>
    <t>29/01/1882</t>
  </si>
  <si>
    <t>007а 003</t>
  </si>
  <si>
    <t>30/01/1882</t>
  </si>
  <si>
    <t>31/01/1882</t>
  </si>
  <si>
    <t>Костромская губерня</t>
  </si>
  <si>
    <t>Шилов Алексей Емельянович</t>
  </si>
  <si>
    <t>007а 004</t>
  </si>
  <si>
    <t>1/02/1882</t>
  </si>
  <si>
    <t>2/02/1882</t>
  </si>
  <si>
    <t>Анастасия Петровна</t>
  </si>
  <si>
    <t>Су? Волости</t>
  </si>
  <si>
    <t>Жена Николая Юдина Евдокия Степановна</t>
  </si>
  <si>
    <t>008а 002</t>
  </si>
  <si>
    <t>Агафья</t>
  </si>
  <si>
    <t>9/02/1882</t>
  </si>
  <si>
    <t>11/02/1882</t>
  </si>
  <si>
    <t>З? деревня</t>
  </si>
  <si>
    <t>Параскевья Семеновна</t>
  </si>
  <si>
    <t>18/02/1882</t>
  </si>
  <si>
    <t>20/02/1882</t>
  </si>
  <si>
    <t>Дмитрий Васильевич Савастьянов</t>
  </si>
  <si>
    <t>011а 002</t>
  </si>
  <si>
    <t>Запись в книге</t>
  </si>
  <si>
    <t>24/02/1882</t>
  </si>
  <si>
    <t>жена Мария Васильевна</t>
  </si>
  <si>
    <t>011а 003</t>
  </si>
  <si>
    <t>28/02/1882</t>
  </si>
  <si>
    <t>дочь отца младенца Параскавея</t>
  </si>
  <si>
    <t>012а 002</t>
  </si>
  <si>
    <t>013а 003</t>
  </si>
  <si>
    <t>02/03/1882</t>
  </si>
  <si>
    <t>03/03/1882</t>
  </si>
  <si>
    <t>Кал? Уезда</t>
  </si>
  <si>
    <t>Стефан Федорович Косяков</t>
  </si>
  <si>
    <t>06/03/1882</t>
  </si>
  <si>
    <t>014а 002</t>
  </si>
  <si>
    <t>14/03/1882</t>
  </si>
  <si>
    <t>15/03/1882</t>
  </si>
  <si>
    <t>Суро? Волость</t>
  </si>
  <si>
    <t>Ко? Деревни</t>
  </si>
  <si>
    <t>Антон Стефанович Пашнин</t>
  </si>
  <si>
    <t>017а 002</t>
  </si>
  <si>
    <t>25/03/1882</t>
  </si>
  <si>
    <t>26/03/1882</t>
  </si>
  <si>
    <t>Жена Ильи Веровина Стефанида Степановна</t>
  </si>
  <si>
    <t>019а 002</t>
  </si>
  <si>
    <t>07/04/1882</t>
  </si>
  <si>
    <t>09/04/1882</t>
  </si>
  <si>
    <t>13/04/1882</t>
  </si>
  <si>
    <t>14/04/1882</t>
  </si>
  <si>
    <t>Теренкульское село</t>
  </si>
  <si>
    <t>16/04/1882</t>
  </si>
  <si>
    <t>021а 004</t>
  </si>
  <si>
    <t>Семен Ильич Ярушев</t>
  </si>
  <si>
    <t>17/04/1882</t>
  </si>
  <si>
    <t>19/04/1882</t>
  </si>
  <si>
    <t>родителю младенца сестра девица Анна</t>
  </si>
  <si>
    <t>дочь Никифора Окунева девица Лукия</t>
  </si>
  <si>
    <t>20/04/1882</t>
  </si>
  <si>
    <t>24/04/1882</t>
  </si>
  <si>
    <t>Кар? Деревни</t>
  </si>
  <si>
    <t>Сын Дмитрия Новокрещенова Иван</t>
  </si>
  <si>
    <t>022а 004</t>
  </si>
  <si>
    <t>23/04/1882</t>
  </si>
  <si>
    <t>Туркенестанский кфедральный собор</t>
  </si>
  <si>
    <t>032а 001</t>
  </si>
  <si>
    <t>1/01/1860</t>
  </si>
  <si>
    <t>01/01/1860</t>
  </si>
  <si>
    <t>536 род 002</t>
  </si>
  <si>
    <t>02/01/1860</t>
  </si>
  <si>
    <t>19/02/1860</t>
  </si>
  <si>
    <t>23/02/1860</t>
  </si>
  <si>
    <t>24/02/1860</t>
  </si>
  <si>
    <t>солдатка Дарья Филипповна</t>
  </si>
  <si>
    <t>543а 004</t>
  </si>
  <si>
    <t>543а 002</t>
  </si>
  <si>
    <t>1/03/1860</t>
  </si>
  <si>
    <t>2/03/1860</t>
  </si>
  <si>
    <t>Тихон Ев* Никонович</t>
  </si>
  <si>
    <t>545 мара 002</t>
  </si>
  <si>
    <t>7/03/1860</t>
  </si>
  <si>
    <t>9/03/1860</t>
  </si>
  <si>
    <t>жена его сына (Окунева Григория) Евдокия Никитична</t>
  </si>
  <si>
    <t>546а 002</t>
  </si>
  <si>
    <t>Возраст жениха</t>
  </si>
  <si>
    <t>Расчитанный год (приблизительно)</t>
  </si>
  <si>
    <t>нас. пункт жениха</t>
  </si>
  <si>
    <t>Родители жениха</t>
  </si>
  <si>
    <t>Невеста</t>
  </si>
  <si>
    <t>Жених</t>
  </si>
  <si>
    <t>Проверено в МК по году рождения</t>
  </si>
  <si>
    <t>Возраст невесты</t>
  </si>
  <si>
    <t>Ссылка на документ</t>
  </si>
  <si>
    <t>E:\Генеалогия\Бродокалмак\1879 ОГАЧО И226-9-27 полный\полный\304 браки\308а 000 и 002, 003</t>
  </si>
  <si>
    <t>Не просматривались целенаправленно</t>
  </si>
  <si>
    <t>8/12/1860</t>
  </si>
  <si>
    <t>Петр Меркур?</t>
  </si>
  <si>
    <t>Василия Силова жена  * Петрова</t>
  </si>
  <si>
    <t>579а 003</t>
  </si>
  <si>
    <t>Родившиеся</t>
  </si>
  <si>
    <t>Умершие</t>
  </si>
  <si>
    <t>Бракосочетавшиеся</t>
  </si>
  <si>
    <t>Таисия Дмитривна</t>
  </si>
  <si>
    <t>брат отца младенца Николай</t>
  </si>
  <si>
    <t>Шермина Елена Тимофеевна</t>
  </si>
  <si>
    <t>014а 000</t>
  </si>
  <si>
    <t>Пашнин Василий Тереньтевич</t>
  </si>
  <si>
    <t>014а 001</t>
  </si>
  <si>
    <t>016а 000</t>
  </si>
  <si>
    <t>Варвара (дочь отца младенца)</t>
  </si>
  <si>
    <t>017а 000</t>
  </si>
  <si>
    <t>Иван Васильевич Нестеров</t>
  </si>
  <si>
    <t>Силова Агрепина Александровна</t>
  </si>
  <si>
    <t>017а 001</t>
  </si>
  <si>
    <t>С? Ольга Ивановна</t>
  </si>
  <si>
    <t>Внебрачный</t>
  </si>
  <si>
    <t>Кошкарева Д? Григорьевна</t>
  </si>
  <si>
    <t>019 апра 001</t>
  </si>
  <si>
    <t>Ф.И.О.</t>
  </si>
  <si>
    <t>Алыбины</t>
  </si>
  <si>
    <t>Алыбина Анна Ивановна</t>
  </si>
  <si>
    <t>Бабины</t>
  </si>
  <si>
    <t>Бабин Александр Васильевич</t>
  </si>
  <si>
    <t>Бабин Алексей Афанасьевич</t>
  </si>
  <si>
    <t>Бабин Андрей Николаевич</t>
  </si>
  <si>
    <t>Бабин Василий Игнатьевич</t>
  </si>
  <si>
    <t>Бабин Григорий Михайлович</t>
  </si>
  <si>
    <t>Бабин Дмитрий Григорьевич</t>
  </si>
  <si>
    <t>Бабин Иван Васильевич</t>
  </si>
  <si>
    <t>Бабин Иван Гаврилович</t>
  </si>
  <si>
    <t>Бабин Иван Михайлович</t>
  </si>
  <si>
    <t>Бабин Иван Павлович</t>
  </si>
  <si>
    <t>Бабин Николай Федорович</t>
  </si>
  <si>
    <t>Бабин Петр Ефимович</t>
  </si>
  <si>
    <t>Бабин Степан Григорьевич</t>
  </si>
  <si>
    <t>Бабин Яков Гаврилович</t>
  </si>
  <si>
    <t>Бабина Анастасия Федоровна</t>
  </si>
  <si>
    <t>Бабина Прасковья</t>
  </si>
  <si>
    <t>Базановы</t>
  </si>
  <si>
    <t>Базанов Егор Венедиктович</t>
  </si>
  <si>
    <t>Бархатов Николай Федорович</t>
  </si>
  <si>
    <t>Бархатова Анастасия Тимофеевна</t>
  </si>
  <si>
    <t>Башарин Григорий Иванович</t>
  </si>
  <si>
    <t>Башарина? Екатерина Хар</t>
  </si>
  <si>
    <t>Беляева Елизавета Степановна</t>
  </si>
  <si>
    <t>Бенедиктов Михаил Вячеславович (священник)</t>
  </si>
  <si>
    <t>Бибин Александр Кондратьевич</t>
  </si>
  <si>
    <t>Блинов Андрей Павлович</t>
  </si>
  <si>
    <t>Блинов Василий Андреевич</t>
  </si>
  <si>
    <t>Блинов Даниил?</t>
  </si>
  <si>
    <t>Блинов Егор Кириллович</t>
  </si>
  <si>
    <t>Блинов Егор Павлович</t>
  </si>
  <si>
    <t>Блинов Иван Дмитриевич</t>
  </si>
  <si>
    <t>Блинов Иван Степанович</t>
  </si>
  <si>
    <t>Блинов Кузьма Степанович</t>
  </si>
  <si>
    <t>Блинов Павел Кириллович</t>
  </si>
  <si>
    <t>Блинов Петр Алексеевич</t>
  </si>
  <si>
    <t>Блинов Петр Андреевич</t>
  </si>
  <si>
    <t>Блинов Саватей Васильевич</t>
  </si>
  <si>
    <t>Блинов Сергей Иванович</t>
  </si>
  <si>
    <t>Блинов Тимофей Кириллович</t>
  </si>
  <si>
    <t>Блинов Яков Кириллович?</t>
  </si>
  <si>
    <t>Богатырев Федор Самуилович</t>
  </si>
  <si>
    <t>Бонокин Антон Павелович</t>
  </si>
  <si>
    <t>Брагин Василей Евгр. (Евграфович)</t>
  </si>
  <si>
    <t>Бубнов Тимофей Ермол(аевич)</t>
  </si>
  <si>
    <t>Бурков Иван Петров(ич)</t>
  </si>
  <si>
    <t>Бурков Дмитрий Петрович</t>
  </si>
  <si>
    <t>Бухарин Иван Васильев(ич)</t>
  </si>
  <si>
    <t>Бухонин Васил. (Василий) Иван. (Иванович)</t>
  </si>
  <si>
    <t>Бухон(ин) Степа(н) Иванов(ич)</t>
  </si>
  <si>
    <t>Бухонин Федор И(ванович)</t>
  </si>
  <si>
    <t>Бухонина Авдотья (Евдокия)</t>
  </si>
  <si>
    <t>Вагин Тимофе(й) Кири.(Кириллович)</t>
  </si>
  <si>
    <t>Вдовин Григо(рий Евлентьевич)</t>
  </si>
  <si>
    <t>Вдовин Димитрий (Евгеньевич)</t>
  </si>
  <si>
    <t>Вдовин Михайло Ев(лентьевич)</t>
  </si>
  <si>
    <t>Вдовин (неразборчиво) (неразборчиво)</t>
  </si>
  <si>
    <t>Веселова Анфисья Ивановна</t>
  </si>
  <si>
    <t>Веселова Параскева (Прасковья Гер.)</t>
  </si>
  <si>
    <t>Вешкурцов (Вешкурцев) Еремей Осип(ович)</t>
  </si>
  <si>
    <t>Вешкурцев Игнатий (Осипович)</t>
  </si>
  <si>
    <t>Власов Николай</t>
  </si>
  <si>
    <t>Власов Петро (Петр) Егоров(ич)</t>
  </si>
  <si>
    <t>Воронин Андрей Мак(симович)</t>
  </si>
  <si>
    <t>Воронин Евлампей (Евлампий И.)</t>
  </si>
  <si>
    <t>Воронин Ефим М(аксимович)</t>
  </si>
  <si>
    <t>Воронин Иван Тимоф(еевич)</t>
  </si>
  <si>
    <t>Воронин Яков Тим. (Тимофеевич)</t>
  </si>
  <si>
    <t>Вшивцов (Вшивцев) Иван Сер.(Сергеевич)</t>
  </si>
  <si>
    <t>Галкин Виктор Михайл. (Михайлович)</t>
  </si>
  <si>
    <t>Глубоков Андрей Абрам(ович)</t>
  </si>
  <si>
    <t>Глубоков Андрей Михайлович</t>
  </si>
  <si>
    <t>Глубоков Андрей (или Андриян) (неразборчиво)</t>
  </si>
  <si>
    <t>Глубоков Андреян (Андриян) Я(ковлевич)</t>
  </si>
  <si>
    <t>Глубоков Евим (Ефим)</t>
  </si>
  <si>
    <t>Глубоков Иван</t>
  </si>
  <si>
    <t>Глубоков Петро (Петр)</t>
  </si>
  <si>
    <t>Глубокова Александра Дем(ьяновна)</t>
  </si>
  <si>
    <t>Глубокова Параск. (Прасковья) Фед. (Федоровна)</t>
  </si>
  <si>
    <t>Гнедов Матвей</t>
  </si>
  <si>
    <t>Гордяев (Гордеев) Иван Григ(орьевич)</t>
  </si>
  <si>
    <t>Гордяев (Гордеев) Григорий И(ванович)</t>
  </si>
  <si>
    <t>Грачев Иван Васильевич</t>
  </si>
  <si>
    <t>Данилов Гаврило Егоров(ич)</t>
  </si>
  <si>
    <t>Данилов Григорий Иванов(ич)</t>
  </si>
  <si>
    <t>Данилов Иван Семенов(ич)</t>
  </si>
  <si>
    <t>Данилов Иван Федоров(ич)</t>
  </si>
  <si>
    <t>Данилов Михаил  Гаврилов(ич)</t>
  </si>
  <si>
    <t>Данилов Прохор Федоров(ич)</t>
  </si>
  <si>
    <t>Данилов Семен Иванов(ич)</t>
  </si>
  <si>
    <t>Данилов Тимофей Федоров(ич)</t>
  </si>
  <si>
    <t>Данилова Анаст(асия) Мих(айловна)</t>
  </si>
  <si>
    <t>Данилова Авдотья (Евдокия) Андреевна</t>
  </si>
  <si>
    <t>Данилова Ефроси(нья) Мих(айловна)</t>
  </si>
  <si>
    <t>Демшин Иван Елиза(ович)</t>
  </si>
  <si>
    <t>Демшин Матвей Иванович</t>
  </si>
  <si>
    <t>Демшин Петр Иванов(ич)</t>
  </si>
  <si>
    <t>Демшин Семен Елизарович</t>
  </si>
  <si>
    <t>Демшина Сусан(на) Мак(симовна)</t>
  </si>
  <si>
    <t>Димитриева Авдотья</t>
  </si>
  <si>
    <t>Дяткова? Настас(ь)я Алексе(евна)</t>
  </si>
  <si>
    <t>Егоров Димит(рий) Егоров(ич)</t>
  </si>
  <si>
    <t>Елецких Федор Александрович</t>
  </si>
  <si>
    <t>Зобнин Данило (Данил Николаевич)</t>
  </si>
  <si>
    <t>Зобнин Иван Михайлов(ич)</t>
  </si>
  <si>
    <t>Зобин (Зобнин) Михаил?</t>
  </si>
  <si>
    <t>Забнин (Зобнин) Никита Иванов(ич)</t>
  </si>
  <si>
    <t>Забнин (Зобнин) Яков Иванов. (Иванович)</t>
  </si>
  <si>
    <t>Золотавин Михаил (Иванович)</t>
  </si>
  <si>
    <t>Зырянов Василий</t>
  </si>
  <si>
    <t>Зарянов (Зырянов) Иван Василич (Васильевич)</t>
  </si>
  <si>
    <t>Зырянов Иван Матв(еевич)</t>
  </si>
  <si>
    <t>Зырянов Матвей Дмитриевич</t>
  </si>
  <si>
    <t>Зырянов Матвей Степан(ович)</t>
  </si>
  <si>
    <t>Зырянов Семен Матвеич (Матвеевич)</t>
  </si>
  <si>
    <t>Зырянов (неразборчиво)</t>
  </si>
  <si>
    <t>Иванов Офонасий (Афанасий) Ив(анович)</t>
  </si>
  <si>
    <t>Иванов(а) Параско. (Прасковья)</t>
  </si>
  <si>
    <t>Казанцева Мар(и)я Тимофеевна</t>
  </si>
  <si>
    <t>Каркавина Авдотья Серге(евна)</t>
  </si>
  <si>
    <t>Кислекова Домна Игнатьевна</t>
  </si>
  <si>
    <t>Кокшаров Омелян (Емельян) Федорович</t>
  </si>
  <si>
    <t>Комин Алексей Михаил. (Михайлович)</t>
  </si>
  <si>
    <t>Комин Иван Ива(нович)</t>
  </si>
  <si>
    <t>Комин Михаил Филип(пович)</t>
  </si>
  <si>
    <t>Комин Михаил Яковлевич</t>
  </si>
  <si>
    <t>Комин Николай</t>
  </si>
  <si>
    <t>Комин Петр Овона (Афонасьевич)</t>
  </si>
  <si>
    <t>Комин Семен Васил(ьевич)</t>
  </si>
  <si>
    <t>Комин Федор Ильич</t>
  </si>
  <si>
    <t>Комина Александра Андреевна</t>
  </si>
  <si>
    <t>Комина Настасья (Анастасия)</t>
  </si>
  <si>
    <t>Комина Анна</t>
  </si>
  <si>
    <t>Комина Елена (Андреевна)</t>
  </si>
  <si>
    <t>Копров? Иван (неразборчиво)</t>
  </si>
  <si>
    <t>Кориков Павел И(ванович)</t>
  </si>
  <si>
    <t>Котов Петр Егорович</t>
  </si>
  <si>
    <t>Кочихи(н) Терентий Ива. (Иванович)</t>
  </si>
  <si>
    <t>Кудр(я)вцев Иван Ник(олаевич)</t>
  </si>
  <si>
    <t>Кудряшев Мих. (Михаил) Григорич (Григорьевич)</t>
  </si>
  <si>
    <t>Кузнецов Алексей Егор(ович)</t>
  </si>
  <si>
    <t>Кузнецов Андрей И(ванович)</t>
  </si>
  <si>
    <t>Кузн(ецов) Андрей Петр. (Петрович)</t>
  </si>
  <si>
    <t>Кузнецов Егор Петров(ич)</t>
  </si>
  <si>
    <t>Кузнецов Иван Павлов(ич)</t>
  </si>
  <si>
    <t>Кузнецов Иван Степ(анович)</t>
  </si>
  <si>
    <t>Кузнецов Михаил (Фил.)</t>
  </si>
  <si>
    <t>Кузнецов Петр Степанович</t>
  </si>
  <si>
    <t>Кузнецов Сергей Степанович</t>
  </si>
  <si>
    <t>Кузнецов Филипп Филиппов(ич)</t>
  </si>
  <si>
    <t>Кузнецова Анисья Никол. (Николаевна)</t>
  </si>
  <si>
    <t>Кузнецова Илизавета (Елизавета Алекс.)</t>
  </si>
  <si>
    <t>Кулаков Дмитрей Афон(асьевич)</t>
  </si>
  <si>
    <t>Кулак (Кулаков) Афонас. (Афонасий) Павлов. (Павлович)</t>
  </si>
  <si>
    <t>Кулаков Яков Иванович</t>
  </si>
  <si>
    <t>Кучин Митр (Дмитрий) Павлович</t>
  </si>
  <si>
    <t>Кирчиков (Кырчиков) Виктор Нико(лаевич)</t>
  </si>
  <si>
    <t>Лебедев Василей Констан(тинович)</t>
  </si>
  <si>
    <t>Лебедев Иван Китов (Титович?)</t>
  </si>
  <si>
    <t>Лебедев Костанкин (Константин) Китович (Титович)</t>
  </si>
  <si>
    <t>Лебедев Константин Ефимович</t>
  </si>
  <si>
    <t>Лебедев Прокопей (Прокопий) Костанкинович (Константинович)</t>
  </si>
  <si>
    <t>Ломакин Григор(ий) Куп (Кипреанович?)</t>
  </si>
  <si>
    <t>Лузин Алексей Егорович</t>
  </si>
  <si>
    <t>Лузин Андрей Григорич (Григорьевич)</t>
  </si>
  <si>
    <t>Лузин Григорей Вас. (Васильевич)</t>
  </si>
  <si>
    <t>Лузин Иван Лаврентич (Лаврентьевич)</t>
  </si>
  <si>
    <t>Лузин Лекандро (Никандр) Василич (Васильевич)</t>
  </si>
  <si>
    <t>Лузин Николай Лаврентьевич</t>
  </si>
  <si>
    <t>Лузин Петр Василие(вич)</t>
  </si>
  <si>
    <t>Лузин Родион Федор(ович)</t>
  </si>
  <si>
    <t>Лузина Наталья Прокопьевна</t>
  </si>
  <si>
    <t>Лузина Харитон(ь)я Михайловна</t>
  </si>
  <si>
    <t>Лысьев Петро (Петр) Митро. (Митрофанович)</t>
  </si>
  <si>
    <t>Макаров Евсигней (Евсигний) Дмит(риевич)</t>
  </si>
  <si>
    <t>Макаров Иван (Евстратьевич)</t>
  </si>
  <si>
    <t>Малькова Юлия (Андреевна)</t>
  </si>
  <si>
    <t>Манойлов Иван Петров(ич)</t>
  </si>
  <si>
    <t>Манойлов Федор Мак.(Максимович)</t>
  </si>
  <si>
    <t>Манойлов Федор Федо. (Федорович)</t>
  </si>
  <si>
    <t>Маранин Ива(н) (Фролович)</t>
  </si>
  <si>
    <t>Марков Сергей Мортем. (Мортемьянович)</t>
  </si>
  <si>
    <t>Марков(а) Марфа</t>
  </si>
  <si>
    <t>Медведев Василий А.</t>
  </si>
  <si>
    <t>Медведев Степан</t>
  </si>
  <si>
    <t>Менщиков Федор Иванович</t>
  </si>
  <si>
    <t>Миронова Анна Иван. (Ивановна)</t>
  </si>
  <si>
    <t>Михайлов Николай Гаври(лович)</t>
  </si>
  <si>
    <t>Могильников Илья (Андреевич)</t>
  </si>
  <si>
    <t>Могильников Миха(ил) (Андреевич)</t>
  </si>
  <si>
    <t>Могильникова Анна Вал.?</t>
  </si>
  <si>
    <t>Нестеров Иван Васильевич</t>
  </si>
  <si>
    <t>Нестеров Ник. (Николай) Иван. (Иванович)</t>
  </si>
  <si>
    <t>Неумоина Ариадн. (Ариадна) Ив(ановна)</t>
  </si>
  <si>
    <t>Никанов Митрей (Дмитрий) Тихонов (Тихонович)</t>
  </si>
  <si>
    <t>Никонов Федор Андреев(ич)</t>
  </si>
  <si>
    <t>Новокрещенов Николай</t>
  </si>
  <si>
    <t>О(в)сянников Егор Осипов(ич)</t>
  </si>
  <si>
    <t>Овсян(н)ик(ов) Иван Осипови(ч)</t>
  </si>
  <si>
    <t>Овсянников Павел Михайлович</t>
  </si>
  <si>
    <t>Овсян(н)ико(в) Петр Кост. (Константинович)</t>
  </si>
  <si>
    <t>Овсян(н)иков Сте(пан Васильевич)</t>
  </si>
  <si>
    <t>Овсян(н)и(ков) Тимоф(ей) Макси(мович)</t>
  </si>
  <si>
    <t>Овсяников (Овсянников) Яков Мики. (Никитович)</t>
  </si>
  <si>
    <t>Окунёв Александр Ив(анович)</t>
  </si>
  <si>
    <t>Окунев Алексий Степа(нович)</t>
  </si>
  <si>
    <t>Окунёв Алексей Степан(ович)</t>
  </si>
  <si>
    <t>Окунев Андрей Мих. (Михайлович)</t>
  </si>
  <si>
    <t>Окунев Василей Алексеев(ич)</t>
  </si>
  <si>
    <t>Окунев Гаврил (Гавриил) Якол (Яковлевич)</t>
  </si>
  <si>
    <t>Окунев Григорий</t>
  </si>
  <si>
    <t>Окунев Дмитрий Николаевич</t>
  </si>
  <si>
    <t>Окунев Иван Иванови(ч)</t>
  </si>
  <si>
    <t>Окунев Иван Фили (Филиппович)</t>
  </si>
  <si>
    <t>Окунев Илья Семенов(ич)</t>
  </si>
  <si>
    <t>Окунев Ларивон (Ларион) Григорич (Григорьевич)</t>
  </si>
  <si>
    <t>Окунёв Матвей Николае(вич)</t>
  </si>
  <si>
    <t>Окуне(в) Матвей Степанови(ч)</t>
  </si>
  <si>
    <t>Окунев Мих. (Михаил) Алексее. (Алексеевич)</t>
  </si>
  <si>
    <t>Окунёв Николай Иванович</t>
  </si>
  <si>
    <t>Окунев Никола(й)</t>
  </si>
  <si>
    <t>Окунев Осип Ивано(вич)</t>
  </si>
  <si>
    <t>Окунев Павел Алек(сеевич)</t>
  </si>
  <si>
    <t>Окунев Петр Алек(сеевич)</t>
  </si>
  <si>
    <t>Окунев Прокоп(ий) Семен(ович)</t>
  </si>
  <si>
    <t>Окунёв Сергей Степано(вич)</t>
  </si>
  <si>
    <t>Окунев Яков Никиф. (Никифорович)</t>
  </si>
  <si>
    <t>Окуне(в) Петр Васильев(ич)</t>
  </si>
  <si>
    <t>Окунева Аграфена Ивановна</t>
  </si>
  <si>
    <t>Окунева Анна Григорьевна</t>
  </si>
  <si>
    <t>Окунева Мария Лори (Ларионовна)</t>
  </si>
  <si>
    <t>Окунева Олга (Ольга) Димит (Дмитриевна)</t>
  </si>
  <si>
    <t>Осипов Васил(ий) Фед. (Федорович)</t>
  </si>
  <si>
    <t>Осипов Егор Фед(орович)</t>
  </si>
  <si>
    <t>Осипов Иван Федор. (Федорович)</t>
  </si>
  <si>
    <t>Осипов Прокоп(ий)</t>
  </si>
  <si>
    <t>Осколков Алексан(др)</t>
  </si>
  <si>
    <t>Осколков Андрей (Иванович?)</t>
  </si>
  <si>
    <t>Осколков Федор Еграфович (Евграфович)</t>
  </si>
  <si>
    <t>Ошурков Иван (Васильевич)</t>
  </si>
  <si>
    <t>Ошурков Сер. (Сергей) Васил(ьевич)</t>
  </si>
  <si>
    <t>Панов Алексей Ива. (Иванович)</t>
  </si>
  <si>
    <t>Панов Афанасей Андреич (Андреевич)</t>
  </si>
  <si>
    <t>Панов Димитрий Николаич (Николаевич)</t>
  </si>
  <si>
    <t>Панов Иван Сергее(вич)</t>
  </si>
  <si>
    <t>Панова Екатерина</t>
  </si>
  <si>
    <t>Парамонов Григорий Егорович</t>
  </si>
  <si>
    <t>Пашнин Влад. (Владимир) Лаврент(ьевич)</t>
  </si>
  <si>
    <t>Пашнин Михайл (Михаил) Лавр. (Лаврентьевич)</t>
  </si>
  <si>
    <t>Печкисов Василей Алексеич (Алексеевич)</t>
  </si>
  <si>
    <t>Плотникова Анаст. (Анастасия) Ал. (Александровна)</t>
  </si>
  <si>
    <t>Побегалов(а) Мария Макаровна</t>
  </si>
  <si>
    <t>Полеков? Трофим Павл(ович)</t>
  </si>
  <si>
    <t>Потемена (Потемина) Вера Ивановна</t>
  </si>
  <si>
    <t>Пянкова Анфи(са) Сергее(вна)</t>
  </si>
  <si>
    <t>Решетников Пар. (Порфирий) Ал. (Александрович)</t>
  </si>
  <si>
    <t>Рубсов (Рубцов) Василий (Яковлевич)</t>
  </si>
  <si>
    <t>Савинова Параск(овья) Алек</t>
  </si>
  <si>
    <t>Сверчков Василий Михайлович</t>
  </si>
  <si>
    <t>Сверчков Иван Никол. (Николаевич)</t>
  </si>
  <si>
    <t>Сверчков Прокопи(й) Мих(айлович)</t>
  </si>
  <si>
    <t>Свинин Илья Петрович</t>
  </si>
  <si>
    <t>Свинин Иван Федоров(ич)</t>
  </si>
  <si>
    <t>Свинин Константин Егорович</t>
  </si>
  <si>
    <t>Свинин Михал (Михаил) Петр(ович)</t>
  </si>
  <si>
    <t>Свинин Павел Федорович</t>
  </si>
  <si>
    <t>Свинин Петр Дмитриев(ич)</t>
  </si>
  <si>
    <t>Свинин Семен (Степанович)</t>
  </si>
  <si>
    <t>Свинина Вера Федор(овна)</t>
  </si>
  <si>
    <t>Севастьянов Алексей Григорич (Григорьевич)</t>
  </si>
  <si>
    <t>Савас(т)ьянов А Спиридо(нович)</t>
  </si>
  <si>
    <t>Севастьянов Григорей Иванов(ич)</t>
  </si>
  <si>
    <t>Севастьянов Дмит. (Дмитрий) Иван(ович)</t>
  </si>
  <si>
    <t>Савастьянов (Севастьянов) Иван Мат. (Матвеевич)</t>
  </si>
  <si>
    <t>Севастьянов Матвей Васил. (Васильевич)</t>
  </si>
  <si>
    <t>Севастьянов Матвей Матвеич (Матвеевич)</t>
  </si>
  <si>
    <t>Севастя (Севастьянов) Порфи(рий) Спири(донович)</t>
  </si>
  <si>
    <t>Севастьянов Спиридон Миха(йлович)</t>
  </si>
  <si>
    <t>Севостьянова Матрена Антонов(на)</t>
  </si>
  <si>
    <t>Сельницын(а) Елизав(ета)</t>
  </si>
  <si>
    <t>Силов Василей Гри(горьевич)</t>
  </si>
  <si>
    <t>Силов Григорей Вас(ильевич)</t>
  </si>
  <si>
    <t>Силов Дми(трий)</t>
  </si>
  <si>
    <t>Силов Ефим Ал.</t>
  </si>
  <si>
    <t>Силов Иван Васильевич</t>
  </si>
  <si>
    <t>Силов Михайло Анд(реевич)</t>
  </si>
  <si>
    <t>Силов Михайло Вас. (Васильевич</t>
  </si>
  <si>
    <t>Силов Николай Алекс</t>
  </si>
  <si>
    <t>Силов Николай Сергеич (Сергеевич)</t>
  </si>
  <si>
    <t>Силов Николай Яко(в)лев(вич)</t>
  </si>
  <si>
    <t>Силов Прокопий</t>
  </si>
  <si>
    <t>Силов Семен Михайлов(ич)</t>
  </si>
  <si>
    <t>Силов Сергей</t>
  </si>
  <si>
    <t>Силова Авд. (Авдотья) Анд. (Андреевна)</t>
  </si>
  <si>
    <t>Синицын Иван Васильевич</t>
  </si>
  <si>
    <t>Собакин Васил(ий) Петр(ович)</t>
  </si>
  <si>
    <t>Собакин Степ. (Степан) Петр. (Петрович)</t>
  </si>
  <si>
    <t>Солонина Матр. (Матрена) Лар. (Ларионовна)</t>
  </si>
  <si>
    <t>Софонов Егор Петрович - зачеркнут</t>
  </si>
  <si>
    <t>Софонов Осип Петрович</t>
  </si>
  <si>
    <t>Софонов Яков Петрович</t>
  </si>
  <si>
    <t>Спицын Андрей Иванович</t>
  </si>
  <si>
    <t>Спицын Андриян</t>
  </si>
  <si>
    <t>Спитцын (Спицын) Ефим Евлетев.</t>
  </si>
  <si>
    <t>Спицын Иван Николаич (Николаевич)</t>
  </si>
  <si>
    <t>Спицын Иван Пав. (Павлович)</t>
  </si>
  <si>
    <t>Спицин (Спицын) Лаврентий Яковлев(ич)</t>
  </si>
  <si>
    <t>Спитцын (Спицын) Матвей Андро(нович)</t>
  </si>
  <si>
    <t>Спицын Осип Иванов(ич)</t>
  </si>
  <si>
    <t>Спицын Осип Прокопьев(ич)</t>
  </si>
  <si>
    <t>Спицын Павел Якимович</t>
  </si>
  <si>
    <t>Спицын Павел Иванов(ич)</t>
  </si>
  <si>
    <t>Спицын Федор Андреев? (Андреевич?)</t>
  </si>
  <si>
    <t>Спицин (Спицын) Федор (Николаевич)</t>
  </si>
  <si>
    <t>Спицына Анна. (Анастасия) Никол. (Николаевна)</t>
  </si>
  <si>
    <t>Стариков Федор И(ванович)</t>
  </si>
  <si>
    <t>Стрельцов Иван (Сергеевич)</t>
  </si>
  <si>
    <t>Сухов Васили(й) Тимоф(еевич)</t>
  </si>
  <si>
    <t>Сырвочев (Сырвачев) Алексей Петрович</t>
  </si>
  <si>
    <t>Сырвочев (Сырвачев) Афонасий Ипать(евич)</t>
  </si>
  <si>
    <t>Сырваче(в) Васил(ий) Яковле(вич)</t>
  </si>
  <si>
    <t>Сырвачев Иван Фил(иппович)</t>
  </si>
  <si>
    <t>Сырвочев (Сырвачев) Сергей Петрович</t>
  </si>
  <si>
    <t>Сыврачев (Сырвачев) Степ. (Степан) Михай. (Михайлович)</t>
  </si>
  <si>
    <t>Сырвачева Огафя (Агафья) Семен(овна)</t>
  </si>
  <si>
    <t>Сырвочева (Сырвачева) Анна Александр. (Александровна)</t>
  </si>
  <si>
    <t>Теплеков (Тепляков) Иван (неразборчиво)</t>
  </si>
  <si>
    <t>Теплекова (Теплякова) Мария</t>
  </si>
  <si>
    <t>Томилов Ликандр (Никандр) Ива(нович)</t>
  </si>
  <si>
    <t>Топор (Топорков) Яков Митрев (Дмитриевич)</t>
  </si>
  <si>
    <t>Топоркова Мар. (Мария) Ал.</t>
  </si>
  <si>
    <t>Усольцев Александр Васильев(ич)</t>
  </si>
  <si>
    <t>Усольцев Алексан(др)</t>
  </si>
  <si>
    <t>Усольцов Александр</t>
  </si>
  <si>
    <t>Усольцов Алекс(е)й Яко(в)лев(ич)</t>
  </si>
  <si>
    <t>Усольцов Андрей А</t>
  </si>
  <si>
    <t>Усольцев Андрей Михайлович</t>
  </si>
  <si>
    <t>Усольцов Василей Арсентев (Арсентьевич)</t>
  </si>
  <si>
    <t>Усольцов Гаврил (Гавриил) Петров(ич)</t>
  </si>
  <si>
    <t>Усольцов Гуря (Гурьян?)</t>
  </si>
  <si>
    <t>Усольцов Дмитрей Затеев (Зотеевич)</t>
  </si>
  <si>
    <t>Усольцев Дмитрий Иванов(ич)</t>
  </si>
  <si>
    <t>Усольцов Егор Петро(вич)</t>
  </si>
  <si>
    <t>Усольцев Иван Андр(еевич)</t>
  </si>
  <si>
    <t>Усольцов Иван Затеев (Зотеевич)</t>
  </si>
  <si>
    <t>Усольцов Иван Иванов(ич)</t>
  </si>
  <si>
    <t>Усольцов Иван Михайлов(ич)</t>
  </si>
  <si>
    <t>Усольцов Иван Петро. (Петрович)</t>
  </si>
  <si>
    <t>Усольцов Иван Петров(ич)</t>
  </si>
  <si>
    <t>Усольцев Иван Сергеич (Сергеевич)</t>
  </si>
  <si>
    <t>Усольцев Иван Тимофеич (Тимофеевич)</t>
  </si>
  <si>
    <t>Усольцов Иван Тихан. (Тихонович)</t>
  </si>
  <si>
    <t>Усольцов Иван</t>
  </si>
  <si>
    <t>Усольцов Михаил Николаевич</t>
  </si>
  <si>
    <t>Усольцов Павел Василевич (Васильевич)</t>
  </si>
  <si>
    <t>Усольцов Петр Василь(евич)</t>
  </si>
  <si>
    <t xml:space="preserve"> Усольцов Петро (Петр) Григор(ьевич)</t>
  </si>
  <si>
    <t>Усольцов Петр Михайлов(ич)</t>
  </si>
  <si>
    <t>Усольцо(в) Прокопей Левонтев (Леонтьевич)</t>
  </si>
  <si>
    <t>Усольцев Семен Афанасич (Афанасьевич)</t>
  </si>
  <si>
    <t>Усольцев Семен Федоров(ич)</t>
  </si>
  <si>
    <t>Усольцов Сергей Миха(йлович)</t>
  </si>
  <si>
    <t>Усольцев Сидор Тимоф(еевич)</t>
  </si>
  <si>
    <t>Усольцев Федр (Федор) Алексеич (Алексеевич)</t>
  </si>
  <si>
    <t>Усольцов Феодор (Федор) Иван. (Иванович)</t>
  </si>
  <si>
    <t>Усольцов Яков (Филиппович)</t>
  </si>
  <si>
    <t>Усольцов (неразборчиво)</t>
  </si>
  <si>
    <t>Усольцова Настасья (Анастасия) Ива(новна)</t>
  </si>
  <si>
    <t>Усольцева Елена Алексеева (Алексеевна)</t>
  </si>
  <si>
    <t>Усольцева Мар(и)я Петровна</t>
  </si>
  <si>
    <t>Усольцева Наталья Д(митриевна)</t>
  </si>
  <si>
    <t>Уфимцов Василей Андр(еевич)</t>
  </si>
  <si>
    <t>Уфимцев Михаил Алексан(дрович)</t>
  </si>
  <si>
    <t>Уфимц(ева) Татьяна Осип. (Осиповна)</t>
  </si>
  <si>
    <t>Уфинцов Андрей Степанович</t>
  </si>
  <si>
    <t>Уфинцов Иван Степан(ович)</t>
  </si>
  <si>
    <t>Увинцов (Уфинцов) Петро</t>
  </si>
  <si>
    <t>Федотова Марья Максим(овна)</t>
  </si>
  <si>
    <t>Флерова Тат. (Татьяна) Мих. (Михайловна)</t>
  </si>
  <si>
    <t>Цепин Максим?</t>
  </si>
  <si>
    <t>Чекмепев? Роман</t>
  </si>
  <si>
    <t>Черемина Аксинья Григорьевна</t>
  </si>
  <si>
    <t>Чухар(ев) Сергей Алек.</t>
  </si>
  <si>
    <t>Шастин Повел (Павел) Зах(арович)</t>
  </si>
  <si>
    <t>Шашков Ефим Алексеев(ич)</t>
  </si>
  <si>
    <t>Шашков Иван (Иванович)</t>
  </si>
  <si>
    <t>Шашков Степан Иванов(ич)</t>
  </si>
  <si>
    <t>Шермин Андрей Михайлович</t>
  </si>
  <si>
    <t>Шермин Иван</t>
  </si>
  <si>
    <t>Шермин Иван Захаров(ич)</t>
  </si>
  <si>
    <t>Шермин Ник. (Николай) Яков.  (Яковлевич)</t>
  </si>
  <si>
    <t>Шермин Осип Кузьмич</t>
  </si>
  <si>
    <t>Шермина Елизавета</t>
  </si>
  <si>
    <t>Шырмина (Шермина) Мария Иванов(на)</t>
  </si>
  <si>
    <t>Шермина Мария Яковлева (Яковлевна)</t>
  </si>
  <si>
    <t>Шерстоб(итов) Андрей Леон(ьевич)</t>
  </si>
  <si>
    <t>Шерстоб(итов) Митр (Дмитрий) Федор. (Федорович)</t>
  </si>
  <si>
    <t>Шехирев Николай Дмитриев(ич)</t>
  </si>
  <si>
    <t>Шилов Иван Деми (Дмитриевич)</t>
  </si>
  <si>
    <t>Шилов Николай (Алексеевич)</t>
  </si>
  <si>
    <t>Шилов Павел Димит(риевич)</t>
  </si>
  <si>
    <t>Шилова Льидия (Лидия) Степ. (Степановна)</t>
  </si>
  <si>
    <t>Шишкин Ион(а) Яковл. (Яковлевич)</t>
  </si>
  <si>
    <t>Шмалканов? Матвей</t>
  </si>
  <si>
    <t>Щелканогов (Щелкогонов) Аркадий</t>
  </si>
  <si>
    <t>Шелконогов (Шелкогонов) Лева (Леонид) см. ниже зачеркнуто: Левонид</t>
  </si>
  <si>
    <t>Ярушов Дмитрий Григорьевич</t>
  </si>
  <si>
    <t>Ярушова Афанасья</t>
  </si>
  <si>
    <t>С(неразборчиво) Алекс</t>
  </si>
  <si>
    <t>(...)ин Алексей</t>
  </si>
  <si>
    <t>(...) Афа(насий) Федор(ович)</t>
  </si>
  <si>
    <t>...бакова  Мария Андре(евна)</t>
  </si>
  <si>
    <t>Район (№ строки)</t>
  </si>
  <si>
    <t>Всего в семье</t>
  </si>
  <si>
    <t>Трудоспо-собных</t>
  </si>
  <si>
    <t>Нетрудо-способных</t>
  </si>
  <si>
    <t>Лошадей</t>
  </si>
  <si>
    <t>Коров</t>
  </si>
  <si>
    <t>Свиней</t>
  </si>
  <si>
    <t>Мелкой скотины</t>
  </si>
  <si>
    <t>Всей земли, десятин</t>
  </si>
  <si>
    <t>Посевы, десятин</t>
  </si>
  <si>
    <t>Покосы</t>
  </si>
  <si>
    <t>Паров на 1922</t>
  </si>
  <si>
    <t>Примечание</t>
  </si>
  <si>
    <t>№ в списке избирателей 16 окт 1922 г.</t>
  </si>
  <si>
    <t>11 (16)</t>
  </si>
  <si>
    <t>7 (19)</t>
  </si>
  <si>
    <t>4 (4)</t>
  </si>
  <si>
    <t>12 (4)</t>
  </si>
  <si>
    <t>18 (14)</t>
  </si>
  <si>
    <t>4 (7)</t>
  </si>
  <si>
    <t>1 (22)</t>
  </si>
  <si>
    <t>4 (6)</t>
  </si>
  <si>
    <t>1 (3)</t>
  </si>
  <si>
    <t>1 (9)</t>
  </si>
  <si>
    <t>4 (3)</t>
  </si>
  <si>
    <t>16 (1)</t>
  </si>
  <si>
    <t>1 (1)</t>
  </si>
  <si>
    <t>17 (-)</t>
  </si>
  <si>
    <t>23 (1)</t>
  </si>
  <si>
    <t>4 (22)</t>
  </si>
  <si>
    <t>24 (-)</t>
  </si>
  <si>
    <t>4 (25)</t>
  </si>
  <si>
    <t>15 (-)</t>
  </si>
  <si>
    <t>19 (-)</t>
  </si>
  <si>
    <t>22 (-)</t>
  </si>
  <si>
    <t>23 (19)</t>
  </si>
  <si>
    <t>1?</t>
  </si>
  <si>
    <t>20 (-)</t>
  </si>
  <si>
    <t>12 (8)</t>
  </si>
  <si>
    <t>21 (-)</t>
  </si>
  <si>
    <t>18 (2)</t>
  </si>
  <si>
    <t>23 (3)</t>
  </si>
  <si>
    <t>4?</t>
  </si>
  <si>
    <t>16 (13)</t>
  </si>
  <si>
    <t>14 (-)</t>
  </si>
  <si>
    <t>23 (18)</t>
  </si>
  <si>
    <t>2 (-)</t>
  </si>
  <si>
    <t>13 (-)</t>
  </si>
  <si>
    <t>24 (2)</t>
  </si>
  <si>
    <t>512?</t>
  </si>
  <si>
    <t>18 (1)</t>
  </si>
  <si>
    <t>3?</t>
  </si>
  <si>
    <t>5?</t>
  </si>
  <si>
    <t>23 (5)</t>
  </si>
  <si>
    <t>9 (21)</t>
  </si>
  <si>
    <t>2?</t>
  </si>
  <si>
    <t>16 (9)</t>
  </si>
  <si>
    <t>(лишен)</t>
  </si>
  <si>
    <t>16 (16)</t>
  </si>
  <si>
    <t>16 (15)</t>
  </si>
  <si>
    <t>- (лишен)</t>
  </si>
  <si>
    <t>12 (12)</t>
  </si>
  <si>
    <t>9 (14)</t>
  </si>
  <si>
    <t>10 (8)</t>
  </si>
  <si>
    <t>10 (10)</t>
  </si>
  <si>
    <t>11 (9)</t>
  </si>
  <si>
    <t>12 (23)</t>
  </si>
  <si>
    <t>4 (17)</t>
  </si>
  <si>
    <t>12 (18)</t>
  </si>
  <si>
    <t>12 (11)</t>
  </si>
  <si>
    <t>12 (10)</t>
  </si>
  <si>
    <t>12 (19)</t>
  </si>
  <si>
    <t>16 (3)</t>
  </si>
  <si>
    <t>5 (-)</t>
  </si>
  <si>
    <t>4 (-)</t>
  </si>
  <si>
    <t>18 (13)</t>
  </si>
  <si>
    <t>18 (11)</t>
  </si>
  <si>
    <t>23 (12)</t>
  </si>
  <si>
    <t>18 (24)</t>
  </si>
  <si>
    <t>16 (18)</t>
  </si>
  <si>
    <t>7 (27)</t>
  </si>
  <si>
    <t>9 (9)</t>
  </si>
  <si>
    <t>1 (18)</t>
  </si>
  <si>
    <t>16 (26)</t>
  </si>
  <si>
    <t>-?</t>
  </si>
  <si>
    <t>4 (33)</t>
  </si>
  <si>
    <t>18 (34)</t>
  </si>
  <si>
    <t>1 (8)</t>
  </si>
  <si>
    <t>4 (32)</t>
  </si>
  <si>
    <t>1 (25)</t>
  </si>
  <si>
    <t>738 (Лишена)</t>
  </si>
  <si>
    <t>18 (15)</t>
  </si>
  <si>
    <t>1 (6)</t>
  </si>
  <si>
    <t>1 (21)</t>
  </si>
  <si>
    <t>9?</t>
  </si>
  <si>
    <t>1 (5)</t>
  </si>
  <si>
    <t>1 (7)</t>
  </si>
  <si>
    <t>сель прав?</t>
  </si>
  <si>
    <t>11 (6)</t>
  </si>
  <si>
    <t>16 (8)</t>
  </si>
  <si>
    <t>16 (4)</t>
  </si>
  <si>
    <t>18 (5)</t>
  </si>
  <si>
    <t>16 (12)</t>
  </si>
  <si>
    <t>16 (2)</t>
  </si>
  <si>
    <t>7 (23)</t>
  </si>
  <si>
    <t>3 (2)</t>
  </si>
  <si>
    <t>3 (7)</t>
  </si>
  <si>
    <t>7 (16)</t>
  </si>
  <si>
    <t>7 (21)</t>
  </si>
  <si>
    <t>3 (8)</t>
  </si>
  <si>
    <t>3 (1)</t>
  </si>
  <si>
    <t>7 (15)</t>
  </si>
  <si>
    <t>7 (25)</t>
  </si>
  <si>
    <t>6 (-)</t>
  </si>
  <si>
    <t>4 (15)</t>
  </si>
  <si>
    <t>18 (25)</t>
  </si>
  <si>
    <t>12 (14)</t>
  </si>
  <si>
    <t>11 (18)</t>
  </si>
  <si>
    <t>4 (13)</t>
  </si>
  <si>
    <t>4 (14)</t>
  </si>
  <si>
    <t>Лишен</t>
  </si>
  <si>
    <t>8 (12)</t>
  </si>
  <si>
    <t>23 (2)</t>
  </si>
  <si>
    <t>4 (12)</t>
  </si>
  <si>
    <t>7 (24)</t>
  </si>
  <si>
    <t>24 (1)</t>
  </si>
  <si>
    <t>18 (16)</t>
  </si>
  <si>
    <t>18 (18)</t>
  </si>
  <si>
    <r>
      <t>2</t>
    </r>
    <r>
      <rPr>
        <sz val="10"/>
        <color theme="1"/>
        <rFont val="Times New Roman"/>
        <family val="1"/>
        <charset val="204"/>
      </rPr>
      <t xml:space="preserve"> 1</t>
    </r>
  </si>
  <si>
    <t>23 (10)</t>
  </si>
  <si>
    <t>299 или 307</t>
  </si>
  <si>
    <t>12 (15)</t>
  </si>
  <si>
    <t>11 (17)</t>
  </si>
  <si>
    <t>11 (20)</t>
  </si>
  <si>
    <t>11 (26)</t>
  </si>
  <si>
    <t>11 (15)</t>
  </si>
  <si>
    <t>18 (27)</t>
  </si>
  <si>
    <t>11 (3)</t>
  </si>
  <si>
    <t>18 (20)</t>
  </si>
  <si>
    <t>3 (12)</t>
  </si>
  <si>
    <t>18 (33)</t>
  </si>
  <si>
    <t>18 (19)</t>
  </si>
  <si>
    <t>4 (11)</t>
  </si>
  <si>
    <t>18 (22)</t>
  </si>
  <si>
    <t>18 (21)</t>
  </si>
  <si>
    <t>18 (23)</t>
  </si>
  <si>
    <t>23 (4)</t>
  </si>
  <si>
    <t>23 (7)</t>
  </si>
  <si>
    <t>18 (31)</t>
  </si>
  <si>
    <t>16 (6)</t>
  </si>
  <si>
    <t>10 (5)</t>
  </si>
  <si>
    <t>12 (5)</t>
  </si>
  <si>
    <t>10 (6)</t>
  </si>
  <si>
    <t>18 (3)</t>
  </si>
  <si>
    <t>23 (9)</t>
  </si>
  <si>
    <t>8 (7)</t>
  </si>
  <si>
    <t>11 (24)</t>
  </si>
  <si>
    <t>3 (13)</t>
  </si>
  <si>
    <t>9 (4)</t>
  </si>
  <si>
    <t>1 (20)</t>
  </si>
  <si>
    <t>Сироты</t>
  </si>
  <si>
    <t>16 (20)</t>
  </si>
  <si>
    <t>16 (25)</t>
  </si>
  <si>
    <t>4 (16)</t>
  </si>
  <si>
    <t>18 (6)</t>
  </si>
  <si>
    <t>1 (23)</t>
  </si>
  <si>
    <t>782 (лишен)</t>
  </si>
  <si>
    <t>16 (19)</t>
  </si>
  <si>
    <t>16 (22)</t>
  </si>
  <si>
    <t>12 (16)</t>
  </si>
  <si>
    <t>4 (2)</t>
  </si>
  <si>
    <t>4 (8)</t>
  </si>
  <si>
    <t>4 (21)</t>
  </si>
  <si>
    <t>3 (16)</t>
  </si>
  <si>
    <t>1 (24)</t>
  </si>
  <si>
    <t>9 (18)</t>
  </si>
  <si>
    <t>12 (26)</t>
  </si>
  <si>
    <t>16 (24)</t>
  </si>
  <si>
    <t>18 (8)</t>
  </si>
  <si>
    <t>12 (20)</t>
  </si>
  <si>
    <t>602 (лишен)</t>
  </si>
  <si>
    <t>9 (12)</t>
  </si>
  <si>
    <t>1 (14)</t>
  </si>
  <si>
    <t>1 (16)</t>
  </si>
  <si>
    <t>18 (26)</t>
  </si>
  <si>
    <t>1 (15)</t>
  </si>
  <si>
    <t>18 (17)</t>
  </si>
  <si>
    <t>14 (1)</t>
  </si>
  <si>
    <t>10 (3)</t>
  </si>
  <si>
    <t>14 (2)</t>
  </si>
  <si>
    <t>9 (25)</t>
  </si>
  <si>
    <t>11 (5)</t>
  </si>
  <si>
    <t>1 ов</t>
  </si>
  <si>
    <t>16 (17)</t>
  </si>
  <si>
    <t>18 (10)</t>
  </si>
  <si>
    <t>12 (24)</t>
  </si>
  <si>
    <t>23 (17)</t>
  </si>
  <si>
    <t>23 (11)</t>
  </si>
  <si>
    <t>23 (6)</t>
  </si>
  <si>
    <t>12 (13)</t>
  </si>
  <si>
    <t>23 (13)</t>
  </si>
  <si>
    <r>
      <t>1</t>
    </r>
    <r>
      <rPr>
        <sz val="10"/>
        <color theme="1"/>
        <rFont val="Times New Roman"/>
        <family val="1"/>
        <charset val="204"/>
      </rPr>
      <t xml:space="preserve"> 2</t>
    </r>
  </si>
  <si>
    <t>23 (14)</t>
  </si>
  <si>
    <t>24 (3)</t>
  </si>
  <si>
    <t>23 (15)</t>
  </si>
  <si>
    <t>9 (8)</t>
  </si>
  <si>
    <t>9 (22)</t>
  </si>
  <si>
    <t>16 (27)</t>
  </si>
  <si>
    <t>12 (25)</t>
  </si>
  <si>
    <t>7 (18)</t>
  </si>
  <si>
    <t>16 (7)</t>
  </si>
  <si>
    <t>8?</t>
  </si>
  <si>
    <t>16 (10)</t>
  </si>
  <si>
    <t>4 (24)</t>
  </si>
  <si>
    <t>4 (20)</t>
  </si>
  <si>
    <t>4 (26)</t>
  </si>
  <si>
    <t>3 (14)</t>
  </si>
  <si>
    <t>8 (18)</t>
  </si>
  <si>
    <t>10 (18)</t>
  </si>
  <si>
    <t>11 (13)</t>
  </si>
  <si>
    <t>11 (14)</t>
  </si>
  <si>
    <t>7 (22)</t>
  </si>
  <si>
    <t>7 (8)</t>
  </si>
  <si>
    <t>1 (12)</t>
  </si>
  <si>
    <t>1 (10)</t>
  </si>
  <si>
    <t>4 (27)</t>
  </si>
  <si>
    <t>4 (23)</t>
  </si>
  <si>
    <t>4 (19)</t>
  </si>
  <si>
    <t>1 (11)</t>
  </si>
  <si>
    <t>4 (18)</t>
  </si>
  <si>
    <t>7 (5)</t>
  </si>
  <si>
    <t>Находится под арестом и (неразб.). Нет дома</t>
  </si>
  <si>
    <t>7 (13)</t>
  </si>
  <si>
    <t>4 (28)</t>
  </si>
  <si>
    <t>4 (9)</t>
  </si>
  <si>
    <t>7 (12)</t>
  </si>
  <si>
    <t>9 (2)</t>
  </si>
  <si>
    <t>9 (3)</t>
  </si>
  <si>
    <t>16 (21)</t>
  </si>
  <si>
    <t>10 (16)</t>
  </si>
  <si>
    <t>10 (20)</t>
  </si>
  <si>
    <t>10 (27)</t>
  </si>
  <si>
    <t>8 (8)</t>
  </si>
  <si>
    <t>23 (8)</t>
  </si>
  <si>
    <t>9 (19)</t>
  </si>
  <si>
    <t>9 (1)</t>
  </si>
  <si>
    <t>23 (20)</t>
  </si>
  <si>
    <t>9 (23)</t>
  </si>
  <si>
    <t>3 (6)</t>
  </si>
  <si>
    <t>3 (3)</t>
  </si>
  <si>
    <t>9 (11)</t>
  </si>
  <si>
    <t>Нет хоз дом(а)?</t>
  </si>
  <si>
    <t>18 (32)</t>
  </si>
  <si>
    <t>16 (23)</t>
  </si>
  <si>
    <t>1 (17)</t>
  </si>
  <si>
    <t>7 (20)</t>
  </si>
  <si>
    <t>3 (10)</t>
  </si>
  <si>
    <t>7 (10)</t>
  </si>
  <si>
    <t>7 (6)</t>
  </si>
  <si>
    <t>4 (30)</t>
  </si>
  <si>
    <t>7 (3)</t>
  </si>
  <si>
    <t>8 (9)</t>
  </si>
  <si>
    <t>3 (15)</t>
  </si>
  <si>
    <t>1 (2)</t>
  </si>
  <si>
    <t>Прим(ак?)</t>
  </si>
  <si>
    <t>7 (17)</t>
  </si>
  <si>
    <t>9 (5)</t>
  </si>
  <si>
    <t>7 (4)</t>
  </si>
  <si>
    <t>7 (1)</t>
  </si>
  <si>
    <t>9 (6)</t>
  </si>
  <si>
    <t>7 (2)</t>
  </si>
  <si>
    <t>3 (4)</t>
  </si>
  <si>
    <t>7 (14)</t>
  </si>
  <si>
    <t>7 (26)</t>
  </si>
  <si>
    <t>11 (19)</t>
  </si>
  <si>
    <t>8 (17)</t>
  </si>
  <si>
    <t>8 (4)</t>
  </si>
  <si>
    <t>9 (7)</t>
  </si>
  <si>
    <t>4 (29)</t>
  </si>
  <si>
    <t>4 (10)</t>
  </si>
  <si>
    <t>8 (5)</t>
  </si>
  <si>
    <t>1 (19)</t>
  </si>
  <si>
    <t>23 (16)</t>
  </si>
  <si>
    <t>10 (2)</t>
  </si>
  <si>
    <t>10 (9)</t>
  </si>
  <si>
    <t>16 (28)</t>
  </si>
  <si>
    <t>18 (30)</t>
  </si>
  <si>
    <t>12 (6)</t>
  </si>
  <si>
    <t>8 (14)</t>
  </si>
  <si>
    <t>8 (3)</t>
  </si>
  <si>
    <t>8 (15)</t>
  </si>
  <si>
    <t>9 (24)</t>
  </si>
  <si>
    <t>9 (15)</t>
  </si>
  <si>
    <t>9 (26)</t>
  </si>
  <si>
    <t>8 (10)</t>
  </si>
  <si>
    <t>7 (9)</t>
  </si>
  <si>
    <t>7 (11)</t>
  </si>
  <si>
    <t>1 (4)</t>
  </si>
  <si>
    <t>8 (13)</t>
  </si>
  <si>
    <t>8 (16)</t>
  </si>
  <si>
    <t>8 (2)</t>
  </si>
  <si>
    <t>11 (7)</t>
  </si>
  <si>
    <t>10 (1)</t>
  </si>
  <si>
    <t>3 ов</t>
  </si>
  <si>
    <t>16 (11)</t>
  </si>
  <si>
    <t>Нет дома</t>
  </si>
  <si>
    <t>11 (4)</t>
  </si>
  <si>
    <t>8 (1)</t>
  </si>
  <si>
    <t>7 (7)</t>
  </si>
  <si>
    <t>8 (11)</t>
  </si>
  <si>
    <t>7?</t>
  </si>
  <si>
    <t>4 (5)</t>
  </si>
  <si>
    <t>4 (1)</t>
  </si>
  <si>
    <t>11 (10)</t>
  </si>
  <si>
    <t>9 (20)</t>
  </si>
  <si>
    <t>10 (7)</t>
  </si>
  <si>
    <t>772?</t>
  </si>
  <si>
    <t>3 (9)</t>
  </si>
  <si>
    <t>9 (17)</t>
  </si>
  <si>
    <t>3 (5)</t>
  </si>
  <si>
    <t>11 (8)</t>
  </si>
  <si>
    <t>3 (11)</t>
  </si>
  <si>
    <t>9 (10)</t>
  </si>
  <si>
    <t>12 (3)</t>
  </si>
  <si>
    <t>9 (13)</t>
  </si>
  <si>
    <t>8 (6)</t>
  </si>
  <si>
    <t>12 (2)</t>
  </si>
  <si>
    <t>16 (5)</t>
  </si>
  <si>
    <t>11 (25)</t>
  </si>
  <si>
    <t>12 (9)</t>
  </si>
  <si>
    <t>9 (27)</t>
  </si>
  <si>
    <t>11 (12)</t>
  </si>
  <si>
    <t>11 (1)</t>
  </si>
  <si>
    <t>11 (22)</t>
  </si>
  <si>
    <t>11 (11)</t>
  </si>
  <si>
    <t>10 (26)</t>
  </si>
  <si>
    <t>12 (1)</t>
  </si>
  <si>
    <t>11 (23)</t>
  </si>
  <si>
    <t>10 (4)</t>
  </si>
  <si>
    <t>11 (21)</t>
  </si>
  <si>
    <t>10 (25)</t>
  </si>
  <si>
    <t>12 (22)</t>
  </si>
  <si>
    <t>10 (21)</t>
  </si>
  <si>
    <t>10 (22)</t>
  </si>
  <si>
    <t>10 (17)</t>
  </si>
  <si>
    <t>1 (13)</t>
  </si>
  <si>
    <t>18 (9)</t>
  </si>
  <si>
    <t>11 (2)</t>
  </si>
  <si>
    <t>157 (исключен)</t>
  </si>
  <si>
    <t>10 (19)</t>
  </si>
  <si>
    <t>10 (11)</t>
  </si>
  <si>
    <t>10 (12)</t>
  </si>
  <si>
    <t>10 (24)</t>
  </si>
  <si>
    <t>18 (4)</t>
  </si>
  <si>
    <t>9 (16)</t>
  </si>
  <si>
    <t>12 (7)</t>
  </si>
  <si>
    <t>12 (21)</t>
  </si>
  <si>
    <t>16 (14)</t>
  </si>
  <si>
    <t>18 (28)</t>
  </si>
  <si>
    <t>18 (29)</t>
  </si>
  <si>
    <t>4 (31)</t>
  </si>
  <si>
    <t>Список семей 1920</t>
  </si>
  <si>
    <t>Усольцев Николай Тимофеевич</t>
  </si>
  <si>
    <t>ФИО</t>
  </si>
  <si>
    <t>Дата</t>
  </si>
  <si>
    <t>Название документа</t>
  </si>
  <si>
    <t>Источник информации</t>
  </si>
  <si>
    <t>Бабин Алексей Дмитриевич</t>
  </si>
  <si>
    <t>1922, 16 окт.</t>
  </si>
  <si>
    <t>Список избирателей</t>
  </si>
  <si>
    <t>№ 801, 30 лет, хлебопашец</t>
  </si>
  <si>
    <t>ОГАЧО Р1014-1-14, л. 62об (с. 087)</t>
  </si>
  <si>
    <t>№ 372, 45 лет, хлебопашец</t>
  </si>
  <si>
    <t>ОГАЧО Р1014-1-14, л. 56об (с. 081)</t>
  </si>
  <si>
    <t>Бабин Василий Федорович</t>
  </si>
  <si>
    <t>№ 736, 70 лет, хлебопашец</t>
  </si>
  <si>
    <t>ОГАЧО Р1014-1-14, л. 61об (с. 086)</t>
  </si>
  <si>
    <t>Бабин Гавриил Никандрович</t>
  </si>
  <si>
    <t>№ 699, 22 года, хлебопашец</t>
  </si>
  <si>
    <t>ОГАЧО Р1014-1-14, л. 61 (с. 085)</t>
  </si>
  <si>
    <t>№ 797, 36 лет, хлебопашец</t>
  </si>
  <si>
    <t>№ 800, 54 года, хлебопашец</t>
  </si>
  <si>
    <t>Бабин Дмитрий Михайлович</t>
  </si>
  <si>
    <t>№ 731, 44 года, хлебопашец</t>
  </si>
  <si>
    <t>№ 735, 44 года, хлебопашец</t>
  </si>
  <si>
    <t>№ 796, 32 года, хлебопашец</t>
  </si>
  <si>
    <t>Бабин Николай Иванович</t>
  </si>
  <si>
    <t>№ 737, 18 лет, хлебопашец</t>
  </si>
  <si>
    <t>№ 637, 48 лет, хлебопашец</t>
  </si>
  <si>
    <t>ОГАЧО Р1014-1-14, л. 60об (с. 085)</t>
  </si>
  <si>
    <t>№ 383, 66 лет, хлебопашец</t>
  </si>
  <si>
    <t>Бабин Степан Ефимович</t>
  </si>
  <si>
    <t>№ 373, 31 год, хлебопашец</t>
  </si>
  <si>
    <t>Бабин Степан</t>
  </si>
  <si>
    <t>№ 717, 20 лет, хлебопашец</t>
  </si>
  <si>
    <t>Бабин Федор Степанович</t>
  </si>
  <si>
    <t>№ 385, 22 года, хлебопашец</t>
  </si>
  <si>
    <t>№ 817, 31 год, хлебопашец</t>
  </si>
  <si>
    <t>ОГАЧО Р1014-1-14, л. 63 (с. 087)</t>
  </si>
  <si>
    <t>Бабина Екатерина Семеновна</t>
  </si>
  <si>
    <t>№ 716, 45 лет, хлебопашец</t>
  </si>
  <si>
    <t>Бабина Мария Степановна</t>
  </si>
  <si>
    <t>№ 387, 19 лет, хлебопашец</t>
  </si>
  <si>
    <t>Бабина Парасковья</t>
  </si>
  <si>
    <t>№ 386, 19 лет, хлебопашец</t>
  </si>
  <si>
    <t>Бабина Пелагея Терентьевна</t>
  </si>
  <si>
    <t>№ 384, 60 лет, хлебопашец</t>
  </si>
  <si>
    <t>№ 883, 30 лет, хлебопашец</t>
  </si>
  <si>
    <t>ОГАЧО Р1014-1-14, л. 64 (с. 088)</t>
  </si>
  <si>
    <t>№ 491, 42 года, хлебопашец</t>
  </si>
  <si>
    <t>ОГАЧО Р1014-1-14, л. 58 (с. 082)</t>
  </si>
  <si>
    <t>№ 522, 28 лет, хлебопашец</t>
  </si>
  <si>
    <t>ОГАЧО Р1014-1-14, л. 58об (с. 083)</t>
  </si>
  <si>
    <t>№ 515, 28 лет, хлебопашец</t>
  </si>
  <si>
    <t>№ 422, 32 года, хлебопашец</t>
  </si>
  <si>
    <t>ОГАЧО Р1014-1-14, л. 57 (с. 081)</t>
  </si>
  <si>
    <t>№ 530, 38 лет, хлебопашец</t>
  </si>
  <si>
    <t>ОГАЧО Р1014-1-14, л. 59 (с. 083)</t>
  </si>
  <si>
    <t>№ 888, 40 лет, хлебопашец</t>
  </si>
  <si>
    <t>№ 327, 50 лет, хлебопашец</t>
  </si>
  <si>
    <t>ОГАЧО Р1014-1-14, л. 56 (с. 080)</t>
  </si>
  <si>
    <t>№ 526, 35 лет, хлебопашец</t>
  </si>
  <si>
    <t>№ 432, 55 лет, хлебопашец</t>
  </si>
  <si>
    <t>ОГАЧО Р1014-1-14, л. 57об (с. 082)</t>
  </si>
  <si>
    <t>№ 570, 49 лет, хлебопашец</t>
  </si>
  <si>
    <t>ОГАЧО Р1014-1-14, л. 59об (с. 084)</t>
  </si>
  <si>
    <t>№ 573, 43 года, хлебопашец</t>
  </si>
  <si>
    <t>№ 875, 47 лет, хлебопашец</t>
  </si>
  <si>
    <t>№ 313, 34 года, хлебопашец</t>
  </si>
  <si>
    <t>ОГАЧО Р1014-1-14, л. 55об (с. 080)</t>
  </si>
  <si>
    <t>№ 92, 26 лет, хлебопашец</t>
  </si>
  <si>
    <t>ОГАЧО Р1014-1-14, л. 52об (с. 077)</t>
  </si>
  <si>
    <t>№ 528, 38 лет, хлебопашец</t>
  </si>
  <si>
    <t>№ 149, 20 лет, хлебопашец</t>
  </si>
  <si>
    <t>ОГАЧО Р1014-1-14, л. 53 (с. 077)</t>
  </si>
  <si>
    <t>№ 513, 36 лет, хлебопашец</t>
  </si>
  <si>
    <t>№ 435, 57 лет, хлебопашец</t>
  </si>
  <si>
    <t>№ 524, 36 лет, хлебопашец</t>
  </si>
  <si>
    <t>№ 331, 52 года, хлебопашец</t>
  </si>
  <si>
    <t>№ 380, 45 лет, хлебопашец</t>
  </si>
  <si>
    <t>№ 333, 50 лет, хлебопашец</t>
  </si>
  <si>
    <t>№ 382, 19 лет, хлебопашец</t>
  </si>
  <si>
    <t>№ 344, 45 лет, хлебопашец</t>
  </si>
  <si>
    <t>№ 394, 22 года, хлебопашец</t>
  </si>
  <si>
    <t>№ 652, 26 лет, хлебопашец</t>
  </si>
  <si>
    <t>№ 281, 33 года, хлебопашец</t>
  </si>
  <si>
    <t>ОГАЧО Р1014-1-14, л. 55 (с. 079)</t>
  </si>
  <si>
    <t>№ 549, 43 года, хлебопашец</t>
  </si>
  <si>
    <t>№ 147, 44 года, хлебопашец</t>
  </si>
  <si>
    <t>№ 520, 35 лет, хлебопашец</t>
  </si>
  <si>
    <t>№ 535, 38 лет, хлебопашец</t>
  </si>
  <si>
    <t>№ 321, 48 лет, хлебопашец</t>
  </si>
  <si>
    <t>№ 532, 55 лет, хлебопашец</t>
  </si>
  <si>
    <t>№ 892, 54 года, хлебопашец</t>
  </si>
  <si>
    <t>№ 769, -, хлебопашец</t>
  </si>
  <si>
    <t>ОГАЧО Р1014-1-14, л. 62 (с. 086)</t>
  </si>
  <si>
    <t>№ 262, 48 лет, хлебопашец</t>
  </si>
  <si>
    <t>№ 569, 79 лет, хлебопашец</t>
  </si>
  <si>
    <t>№ 512, 76 лет, хлебопашец</t>
  </si>
  <si>
    <t>№ 533, 26 лет, хлебопашец, использует наемный труд</t>
  </si>
  <si>
    <t>№ 395, 29 лет, хлебопашец</t>
  </si>
  <si>
    <t>№ 328, 22 года, хлебопашец, 22</t>
  </si>
  <si>
    <t>№ 434, 26 лет, хлебопашец, 18</t>
  </si>
  <si>
    <t>№ 150, 46 лет, хлебопашец</t>
  </si>
  <si>
    <t>№ 393, 62 года, хлебопашец</t>
  </si>
  <si>
    <t>№ 376, 66 лет, хлебопашец</t>
  </si>
  <si>
    <t>№ 516, 24 года, хлебопашец</t>
  </si>
  <si>
    <t>№ 492, 42 года, хлебопашец</t>
  </si>
  <si>
    <t>№ 278, 44 года, хлебопашец</t>
  </si>
  <si>
    <t>№ 521, 37 лет, хлебопашец</t>
  </si>
  <si>
    <t>№ 548, 46 лет, хлебопашец</t>
  </si>
  <si>
    <t>№ 330, 52 года, хлебопашец</t>
  </si>
  <si>
    <t>№ 525, 30 лет, хлебопашец</t>
  </si>
  <si>
    <t>№ 332, 51 год, хлебопашец</t>
  </si>
  <si>
    <t>№ 527, 35 лет, хлебопашец</t>
  </si>
  <si>
    <t>№ 263, 47 лет, хлебопашец</t>
  </si>
  <si>
    <t>№ 308, 50 лет, хлебопашец</t>
  </si>
  <si>
    <t>№ 523, 27 лет, хлебопашец</t>
  </si>
  <si>
    <t>№ 93, 62 года, хлебопашец</t>
  </si>
  <si>
    <t>№ 550, 43 года, хлебопашец</t>
  </si>
  <si>
    <t>№ 345, 42 года, хлебопашец</t>
  </si>
  <si>
    <t>№ 329, 20 лет, хлебопашец</t>
  </si>
  <si>
    <t>№ 314, 30 лет, хлебопашец</t>
  </si>
  <si>
    <t>№ 349, 43 года, хлебопашец</t>
  </si>
  <si>
    <t>№ 536, 35 лет, хлебопашец</t>
  </si>
  <si>
    <t>№ 574, 40 лет, хлебопашец</t>
  </si>
  <si>
    <t>№ 572, 30 лет, хлебопашец</t>
  </si>
  <si>
    <t>№ 423, 32 года, хлебопашец</t>
  </si>
  <si>
    <t>№ 309, 40 лет, хлебопашец, пользуется наемным трудом</t>
  </si>
  <si>
    <t>№ 381, 44 года, хлебопашец</t>
  </si>
  <si>
    <t>№ 517, 34 года, хлебопашец</t>
  </si>
  <si>
    <t>№ 152, 18 лет, хлебопашец</t>
  </si>
  <si>
    <t>№ 529, 37 лет, хлебопашец</t>
  </si>
  <si>
    <t>№ 334, 50 лет, хлебопашец</t>
  </si>
  <si>
    <t>№ 396, 28 лет, хлебопашец</t>
  </si>
  <si>
    <t>№ 324, 20 лет, хлебопашец</t>
  </si>
  <si>
    <t>№ 394, 63 года, хлебопашец</t>
  </si>
  <si>
    <t>№ 42, 45 лет, хлебопашец</t>
  </si>
  <si>
    <t>ОГАЧО Р1014-1-14, л. 51об (с. 076)</t>
  </si>
  <si>
    <t>№ 534, 24 года, хлебопашец</t>
  </si>
  <si>
    <t>№ 377, 64 года, хлебопашец</t>
  </si>
  <si>
    <t>№ 531, 38 лет, хлебопашец</t>
  </si>
  <si>
    <t>№ 148, 44 года, хлебопашец</t>
  </si>
  <si>
    <t>№ 433, 56 лет, хлебопашец</t>
  </si>
  <si>
    <t>№ 514, 30 лет, хлебопашец</t>
  </si>
  <si>
    <t>№ 282, 33 года, хлебопашец</t>
  </si>
  <si>
    <t>№ 322, 47 лет, хлебопашец</t>
  </si>
  <si>
    <t>№ 323, 20 лет, хлебопашец</t>
  </si>
  <si>
    <t>№ 151, 46 лет, хлебопашец</t>
  </si>
  <si>
    <t>№ 571, 45 лет, хлебопашец</t>
  </si>
  <si>
    <t>№ 498, 30 лет, хлебопашец</t>
  </si>
  <si>
    <t>Бархатов Платон Федорович</t>
  </si>
  <si>
    <t>№ 495, 20 лет, хлебопашец</t>
  </si>
  <si>
    <t>№ 496, 49 лет, хлебопашец</t>
  </si>
  <si>
    <t>Бархатова Клавдия Архиповна</t>
  </si>
  <si>
    <t>№ 497, 19 лет, хлебопашец</t>
  </si>
  <si>
    <t>Бархатова Мария Никандровна</t>
  </si>
  <si>
    <t>№ 499, 30 лет, хлебопашец</t>
  </si>
  <si>
    <t>Безсонова Мария Федоровна</t>
  </si>
  <si>
    <t>№ 628, 20 лет, ?, ?</t>
  </si>
  <si>
    <t>ОГАЧО Р1014-1-14, л. 60 (с. 084)</t>
  </si>
  <si>
    <t>№ 48, 25 лет, хлебопашец</t>
  </si>
  <si>
    <t>№ 273, 36 лет, хлебопашец</t>
  </si>
  <si>
    <t>№ 49, 22 года, хлебопашец</t>
  </si>
  <si>
    <t>№ 788, 36 лет, хлебопашец</t>
  </si>
  <si>
    <t>№ 98, 65 лет, хлебопашец</t>
  </si>
  <si>
    <t>№ 99, 29 лет, хлебопашец</t>
  </si>
  <si>
    <t>№ 47, 50 лет, хлебопашец</t>
  </si>
  <si>
    <t>№ 684, 38 лет, хлебопашец</t>
  </si>
  <si>
    <t>№ 672, -, хлебопашец</t>
  </si>
  <si>
    <t>№ 172, 56 лет, хлебопашец</t>
  </si>
  <si>
    <t>ОГАЧО Р1014-1-14, л. 53об (с. 078)</t>
  </si>
  <si>
    <t>№ 102, 45 лет, хлебопашец</t>
  </si>
  <si>
    <t>№ 124, 40 лет, хлебопашец</t>
  </si>
  <si>
    <t>№ 803, 40 лет, хлебопашец</t>
  </si>
  <si>
    <t>№ 264, 35 лет, хлебопашец</t>
  </si>
  <si>
    <t>№ 104, 24 года, хлебопашец</t>
  </si>
  <si>
    <t>№ 113, 47 лет, хлебопашец</t>
  </si>
  <si>
    <t>№ 51, 22 года, хлебопашец</t>
  </si>
  <si>
    <t>№ 316, 22 года, учитель, была учителем при Колчаке</t>
  </si>
  <si>
    <t>№ 105, 20 лет, хлебопашец</t>
  </si>
  <si>
    <t>№ 274, 35 лет, хлебопашец</t>
  </si>
  <si>
    <t>№ 103, 47 лет, хлебопашец</t>
  </si>
  <si>
    <t>№ 118, 56 лет, хлебопашец</t>
  </si>
  <si>
    <t>№ 125, 39 лет, хлебопашец</t>
  </si>
  <si>
    <t>№ 50, 22 года, хлебопашец</t>
  </si>
  <si>
    <t>№ 100, 29 лет, хлебопашец</t>
  </si>
  <si>
    <t>№ 119, 20 лет, хлебопашец</t>
  </si>
  <si>
    <t>№ 315, 45 лет, хлебопашец</t>
  </si>
  <si>
    <t>№ 101, 20 лет, хлебопашец</t>
  </si>
  <si>
    <t>№ 685, 38 лет, хлебопашец</t>
  </si>
  <si>
    <t>№ 265, 20 лет, хлебопашец</t>
  </si>
  <si>
    <t>№ 114, 21 год, хлебопашец</t>
  </si>
  <si>
    <t>№ 173, 51 год, хлебопашец</t>
  </si>
  <si>
    <t>№ 638, 62 года, хлебопашец</t>
  </si>
  <si>
    <t>№ 117, 40 лет, хлебопашец</t>
  </si>
  <si>
    <t>№ 110, 52 года, хлебопашец</t>
  </si>
  <si>
    <t>№ 595, 49 лет, хлебопашец</t>
  </si>
  <si>
    <t>Бибина Анна Сергеевна</t>
  </si>
  <si>
    <t>№ 596, 49 лет, хлебопашец</t>
  </si>
  <si>
    <t>Бибина Екатерина Александровна</t>
  </si>
  <si>
    <t>№ 597, 26 лет, хлебопашец</t>
  </si>
  <si>
    <t>Блинов Андриан Павлович</t>
  </si>
  <si>
    <t>№ 648, 46 лет, хлебопашец</t>
  </si>
  <si>
    <t>№ 829, 40 лет, хлебопашец</t>
  </si>
  <si>
    <t>№ 369, 48 лет, хлебопашец</t>
  </si>
  <si>
    <t>№ 288, 48 лет, хлебопашец</t>
  </si>
  <si>
    <t>Блинов Иван Васильевич</t>
  </si>
  <si>
    <t>№ 830, 20 лет, хлебопашец</t>
  </si>
  <si>
    <t>№ 887, 45 лет, хлебопашец</t>
  </si>
  <si>
    <t>№ 443, 27 лет, хлебопашец</t>
  </si>
  <si>
    <t>№ 442, -, хлебопашец</t>
  </si>
  <si>
    <t>Блинов Осип Егорович</t>
  </si>
  <si>
    <t>№ 371, 18 лет, хлебопашец</t>
  </si>
  <si>
    <t>№ 885, 29 лет, хлебопашец</t>
  </si>
  <si>
    <t>№ 624, 45 лет, хлебопашец</t>
  </si>
  <si>
    <t>Блинов Петр Тимофеевич</t>
  </si>
  <si>
    <t>№ 798, 30 лет, хлебопашец</t>
  </si>
  <si>
    <t>№ 897, 22 года, хлебопашец</t>
  </si>
  <si>
    <t>Блинов Яков Кир.</t>
  </si>
  <si>
    <t>№ 348, 43 года, хлебопашец</t>
  </si>
  <si>
    <t>Блинова Александра Петровна</t>
  </si>
  <si>
    <t>№ 625, 36 лет, хлебопашец</t>
  </si>
  <si>
    <t>Блинова Анисья Андреевна</t>
  </si>
  <si>
    <t>№ 289, 48 лет, хлебопашец</t>
  </si>
  <si>
    <t>Блинова Ольга Васильевна</t>
  </si>
  <si>
    <t>№ 370, 46 лет, хлебопашец</t>
  </si>
  <si>
    <t>Богатырев Федор Самоилович</t>
  </si>
  <si>
    <t>№ 452, 44 года, хлебопашец, не имеет</t>
  </si>
  <si>
    <t>Бубнов Тимофей Ермолаевич</t>
  </si>
  <si>
    <t>№ 621, 62 года, плотник, работал плотником при Колчаке</t>
  </si>
  <si>
    <t>Бубнова Парасковья Тимофеевна</t>
  </si>
  <si>
    <t>№ 622, 49 лет, ?, ?</t>
  </si>
  <si>
    <t>Буинов Тимофей</t>
  </si>
  <si>
    <t>№ 286, 18 лет, хлебопашец</t>
  </si>
  <si>
    <t>Буханина Парасковья</t>
  </si>
  <si>
    <t>№ 720, 45 лет, хлебопашец</t>
  </si>
  <si>
    <t>Бухарин Иван Васильевич</t>
  </si>
  <si>
    <t>№ 886, 32 года, хлебопашец</t>
  </si>
  <si>
    <t>Бухонин Алексей Степанович</t>
  </si>
  <si>
    <t>№ 820, 24 года, хлебопашец</t>
  </si>
  <si>
    <t>Бухонин Андрей Степанович</t>
  </si>
  <si>
    <t>№ 821, 18 лет, хлебопашец</t>
  </si>
  <si>
    <t>Бухонин Василий Иванович</t>
  </si>
  <si>
    <t>№ 57, 41 год, хлебопашец</t>
  </si>
  <si>
    <t>ОГАЧО Р1014-1-14, л. 52 (с. 076)</t>
  </si>
  <si>
    <t>Бухонин Степан Иванович</t>
  </si>
  <si>
    <t>№ 818, 48 лет, хлебопашец, 5</t>
  </si>
  <si>
    <t>Бухонина Александра Федоровна</t>
  </si>
  <si>
    <t>№ 819, 44 года, хлебопашец</t>
  </si>
  <si>
    <t>Бухонина Анна Ивановна</t>
  </si>
  <si>
    <t>№ 58, 37 лет, хлебопашец</t>
  </si>
  <si>
    <t>Вагин Тимофей Кириллович</t>
  </si>
  <si>
    <t>№ 823, 36 лет, хлебопашец</t>
  </si>
  <si>
    <t>Вдовин Григорий Евлент.</t>
  </si>
  <si>
    <t>№ 815, 39 лет, хлебопашец</t>
  </si>
  <si>
    <t>Вдовин Дмитрий Евгеньевич</t>
  </si>
  <si>
    <t>№ 454, 30 лет, хлебопашец</t>
  </si>
  <si>
    <t>Вдовин Михаил Евлент.</t>
  </si>
  <si>
    <t>№ 715, 45 лет, хлебопашец</t>
  </si>
  <si>
    <t>Веселова Анфисья</t>
  </si>
  <si>
    <t>№ 738, 50 лет, хлебопашец, искл.</t>
  </si>
  <si>
    <t>Веселова Парасковья Гер.</t>
  </si>
  <si>
    <t>№ 465, 38 лет, хлебопашец</t>
  </si>
  <si>
    <t>Вешкурцев Игнатий Осипович</t>
  </si>
  <si>
    <t>№ 359, 55 лет, хлебопашец</t>
  </si>
  <si>
    <t>Вешкурцев Михаил Еремеевич</t>
  </si>
  <si>
    <t>№ 269, 31 год, хлебопашец</t>
  </si>
  <si>
    <t>Вешкурцев Федор Еремеевич</t>
  </si>
  <si>
    <t>№ 270, 18 лет, хлебопашец</t>
  </si>
  <si>
    <t>Вешкурцева Наталья Спиридоновна</t>
  </si>
  <si>
    <t>№ 360, 57 лет, хлебопашец</t>
  </si>
  <si>
    <t>Власов Михаил</t>
  </si>
  <si>
    <t>№ 290, 19 лет, хлебопашец</t>
  </si>
  <si>
    <t>Власов Петр Егорович</t>
  </si>
  <si>
    <t>№ 444, 48 лет, хлебопашец</t>
  </si>
  <si>
    <t>Воронин Андрей Максимович</t>
  </si>
  <si>
    <t>№ 702, 36 лет, хлебопашец</t>
  </si>
  <si>
    <t>Воронин Евлампий И.</t>
  </si>
  <si>
    <t>№ 725, 37 лет, хлебопашец</t>
  </si>
  <si>
    <t>Воронин Ефим Максимович</t>
  </si>
  <si>
    <t>№ 700, 38 лет, хлебопашец</t>
  </si>
  <si>
    <t>Воронин Иван Тимофеевич</t>
  </si>
  <si>
    <t>№ 705, 56 лет, хлебопашец</t>
  </si>
  <si>
    <t>Воронин Филипп Яковлевич</t>
  </si>
  <si>
    <t>№ 787, 36 лет, хлебопашец</t>
  </si>
  <si>
    <t>Воронина Анастасия Андреевна</t>
  </si>
  <si>
    <t>№ 701, 39 лет, хлебопашец</t>
  </si>
  <si>
    <t>Воронина Елизавета Павловна</t>
  </si>
  <si>
    <t>№ 726, 30 лет, хлебопашец</t>
  </si>
  <si>
    <t>Воронина Мария Кирилловна</t>
  </si>
  <si>
    <t>№ 703, 35 лет, хлебопашец</t>
  </si>
  <si>
    <t>Выломов Федор Федорович</t>
  </si>
  <si>
    <t>№ 626, 40 лет, на службе, служил при Колчаке</t>
  </si>
  <si>
    <t>Выломова Анна Антоновна</t>
  </si>
  <si>
    <t>№ 627, 36 лет, ?, ?</t>
  </si>
  <si>
    <t>Галкин Виктор Михайлович</t>
  </si>
  <si>
    <t>№ 165, 33 года, хлебопашец</t>
  </si>
  <si>
    <t>Галкина Наталья Васильевна</t>
  </si>
  <si>
    <t>№ 166, 36 лет, хлебопашец</t>
  </si>
  <si>
    <t>Глубоков Андрей Абрамович</t>
  </si>
  <si>
    <t>№ 644, 63 года, хлебопашец</t>
  </si>
  <si>
    <t>№ 647, 32 года, хлебопашец</t>
  </si>
  <si>
    <t>Глубоков Андриан Яковлевич</t>
  </si>
  <si>
    <t>№ 258, 43 года, хлебопашец</t>
  </si>
  <si>
    <t>Глубоков Ефим</t>
  </si>
  <si>
    <t>№ 300, 49 лет, хлебопашец</t>
  </si>
  <si>
    <t>№ 317, 37 лет, хлебопашец</t>
  </si>
  <si>
    <t>Глубоков Мар. Анд.</t>
  </si>
  <si>
    <t>№ 856, 47 лет, хлебопашец</t>
  </si>
  <si>
    <t>ОГАЧО Р1014-1-14, л. 63об (с. 088)</t>
  </si>
  <si>
    <t>Глубоков Матвей</t>
  </si>
  <si>
    <t>№ 325, 40 лет, хлебопашец</t>
  </si>
  <si>
    <t>Глубоков Михаил Андреевич</t>
  </si>
  <si>
    <t>№ 893, -, -</t>
  </si>
  <si>
    <t>ОГАЧО Р1014-1-14, л. 64об (с. 089)</t>
  </si>
  <si>
    <t>Глубокова Анна Ал.</t>
  </si>
  <si>
    <t>№ 326, 35 лет, хлебопашец</t>
  </si>
  <si>
    <t>Глубокова Екатерина</t>
  </si>
  <si>
    <t>№ 894, -, -</t>
  </si>
  <si>
    <t>Глубокова Елизавета Васильевна</t>
  </si>
  <si>
    <t>№ 318, 35 лет, хлебопашец</t>
  </si>
  <si>
    <t>Глубокова Крестина Гавриловна</t>
  </si>
  <si>
    <t>№ 301, 49 лет, хлебопашец</t>
  </si>
  <si>
    <t>Глубокова Парасковья Павловна</t>
  </si>
  <si>
    <t>№ 437, 44 года, хлебопашец</t>
  </si>
  <si>
    <t>Глубокова Парасковья</t>
  </si>
  <si>
    <t>№ 898, -, -</t>
  </si>
  <si>
    <t>Глубокова Татьяна Ивановна</t>
  </si>
  <si>
    <t>№ 259, 38 лет, хлебопашец</t>
  </si>
  <si>
    <t>Гордеев Григорий Иванович</t>
  </si>
  <si>
    <t>№ 356, 58 лет, хлебопашец</t>
  </si>
  <si>
    <t>Гордеев Иван Григорьевич</t>
  </si>
  <si>
    <t>№ 354, 29 лет, хлебопашец</t>
  </si>
  <si>
    <t>Гордеева А. Петровна</t>
  </si>
  <si>
    <t>№ 355, 26 лет, хлебопашец</t>
  </si>
  <si>
    <t>Гордеева Ольга Ивановна</t>
  </si>
  <si>
    <t>№ 357, 56 лет, хлебопашец</t>
  </si>
  <si>
    <t>Гордеева Таисья Григорьевна</t>
  </si>
  <si>
    <t>№ 358, 20 лет, хлебопашец</t>
  </si>
  <si>
    <t>Данилов Алексей Михайлович</t>
  </si>
  <si>
    <t>№ 229, 27 лет, хлебопашец</t>
  </si>
  <si>
    <t>ОГАЧО Р1014-1-14, л. 54об (с. 079)</t>
  </si>
  <si>
    <t>Данилов Гаврило Егорович</t>
  </si>
  <si>
    <t>№ 230, 72 года, хлебопашец</t>
  </si>
  <si>
    <t>Данилов Григорий Иванович</t>
  </si>
  <si>
    <t>№ 739, 40 лет, хлебопашец, 3</t>
  </si>
  <si>
    <t>Данилов Иван Семенович</t>
  </si>
  <si>
    <t>№ 756, 28 лет, хлебопашец</t>
  </si>
  <si>
    <t>Данилов Михаил Гаврилович</t>
  </si>
  <si>
    <t>№ 227, 52 года, хлебопашец</t>
  </si>
  <si>
    <t>Данилов Осип Семенович</t>
  </si>
  <si>
    <t>№ 742, 26 лет, хлебопашец</t>
  </si>
  <si>
    <t>Данилов Прохор Федорович</t>
  </si>
  <si>
    <t>№ 752, 37 лет, хлебопашец</t>
  </si>
  <si>
    <t>Данилов Семен Иванович</t>
  </si>
  <si>
    <t>№ 741, 55 лет, хлебопашец</t>
  </si>
  <si>
    <t>Данилов Тимофей Федорович</t>
  </si>
  <si>
    <t>№ 252, 25 лет, хлебопашец</t>
  </si>
  <si>
    <t>Данилова Афонасья Павловна</t>
  </si>
  <si>
    <t>№ 753, 38 лет, хлебопашец</t>
  </si>
  <si>
    <t>Данилова Варвара Гавриловна</t>
  </si>
  <si>
    <t>№ 232, 21 год, хлебопашец</t>
  </si>
  <si>
    <t>Данилова Евдокия Андреевна</t>
  </si>
  <si>
    <t>№ 238, 37 лет, хлебопашец</t>
  </si>
  <si>
    <t>Данилова Евдокия Михайловна</t>
  </si>
  <si>
    <t>№ 231, 57 лет, хлебопашец</t>
  </si>
  <si>
    <t>Данилова Елизавета Игнатьевна</t>
  </si>
  <si>
    <t>№ 757, 27 лет, хлебопашец</t>
  </si>
  <si>
    <t>Данилова Парасковья</t>
  </si>
  <si>
    <t>№ 228, 52 года, хлебопашец</t>
  </si>
  <si>
    <t>Данилова Татьяна Алексеевна</t>
  </si>
  <si>
    <t>№ 740, 23 года, хлебопашец</t>
  </si>
  <si>
    <t>№ 858, 45 лет, хлебопашец</t>
  </si>
  <si>
    <t>№ 453, 52 года, хлебопашец, искл.</t>
  </si>
  <si>
    <t>Дмитриев Михаил Владимирович</t>
  </si>
  <si>
    <t>№ 503, 23 года, торговец</t>
  </si>
  <si>
    <t>Дмитриева Татьяна Михайловна</t>
  </si>
  <si>
    <t>№ 889, -, -</t>
  </si>
  <si>
    <t>Дьячкова Анастасия Сергеевна</t>
  </si>
  <si>
    <t>№ 623, 50 лет, хлебопашец</t>
  </si>
  <si>
    <t>Егоров Дмитрий Егорович</t>
  </si>
  <si>
    <t>№ 604, 43 года, кузнец</t>
  </si>
  <si>
    <t>Егорова Анна Васильевна</t>
  </si>
  <si>
    <t>№ 605, 33 года, хлебопашец</t>
  </si>
  <si>
    <t>Ершов Павел Феоктистович</t>
  </si>
  <si>
    <t>№ 585, 26 лет, хлебопашец</t>
  </si>
  <si>
    <t>Ершова Парасковья Ивановна</t>
  </si>
  <si>
    <t>№ 587, 23 года, хлебопашец</t>
  </si>
  <si>
    <t>Ершова Фотинья Родионовна</t>
  </si>
  <si>
    <t>№ 586, 50 лет, хлебопашец</t>
  </si>
  <si>
    <t>Зобнин Василий Данилович</t>
  </si>
  <si>
    <t>№ 135, 19 лет, хлебопашец</t>
  </si>
  <si>
    <t>Зобнин Данил Николаевич</t>
  </si>
  <si>
    <t>№ 133, 58 лет, хлебопашец</t>
  </si>
  <si>
    <t>Зобнин Иван Михайлович</t>
  </si>
  <si>
    <t>№ 195, 37 лет, хлебопашец</t>
  </si>
  <si>
    <t>ОГАЧО Р1014-1-14, л. 54 (с. 078)</t>
  </si>
  <si>
    <t>Зобнин Игнатий Яковлевич</t>
  </si>
  <si>
    <t>№ 805, 49 лет, хлебопашец</t>
  </si>
  <si>
    <t>Зобнин Никита Иванович</t>
  </si>
  <si>
    <t>№ 806, -, хлебопашец</t>
  </si>
  <si>
    <t>Зобнин Яков Иванович</t>
  </si>
  <si>
    <t>№ 804, 70 лет, хлебопашец</t>
  </si>
  <si>
    <t>Зобнина Мария Григорьевна</t>
  </si>
  <si>
    <t>№ 196, 35 лет, хлебопашец</t>
  </si>
  <si>
    <t>Зобнина Мария</t>
  </si>
  <si>
    <t>№ 134, 51 год, хлебопашец</t>
  </si>
  <si>
    <t>Зырянов Егор Матвеевич</t>
  </si>
  <si>
    <t>№ 428, 32 года, хлебопашец</t>
  </si>
  <si>
    <t>Зырянов Иван Матвеевич</t>
  </si>
  <si>
    <t>№ 352, 40 лет, хлебопашец</t>
  </si>
  <si>
    <t>№ 3, 51 год, хлебопашец</t>
  </si>
  <si>
    <t>ОГАЧО Р1014-1-14, л. 51 (с. 075)</t>
  </si>
  <si>
    <t>Зырянов Матвей Степанович</t>
  </si>
  <si>
    <t>№ 426, 63 года, хлебопашец</t>
  </si>
  <si>
    <t>Зырянов Михаил Степанович</t>
  </si>
  <si>
    <t>№ 430, 26 лет, хлебопашец</t>
  </si>
  <si>
    <t>Зырянов Семен Матвеевич</t>
  </si>
  <si>
    <t>№ 260, 35 лет, хлебопашец</t>
  </si>
  <si>
    <t>Зырянов Яков Васильевич</t>
  </si>
  <si>
    <t>№ 646, 26 лет, рабочий по кровельным делам, при Колчаке был на угольных копях</t>
  </si>
  <si>
    <t>Зырянова Анна Ивановна</t>
  </si>
  <si>
    <t>№ 4, 35 лет, хлебопашец</t>
  </si>
  <si>
    <t>Зырянова Дарья Ивановна</t>
  </si>
  <si>
    <t>№ 431, 23 года, хлебопашец</t>
  </si>
  <si>
    <t>Зырянова Евдокия Егоровна</t>
  </si>
  <si>
    <t>№ 427, 63 года, хлебопашец</t>
  </si>
  <si>
    <t>Зырянова Мария Алекс.</t>
  </si>
  <si>
    <t>№ 429, 20 лет, хлебопашец</t>
  </si>
  <si>
    <t>Зырянова Ольга Васильевна</t>
  </si>
  <si>
    <t>№ 353, 41 год, хлебопашец</t>
  </si>
  <si>
    <t>Зырянова Парасковья Дмитриевна</t>
  </si>
  <si>
    <t>№ 261, 34 года, хлебопашец</t>
  </si>
  <si>
    <t>Иванов Афонасий (Иванович)</t>
  </si>
  <si>
    <t>№ 807, 44 года, хлебопашец</t>
  </si>
  <si>
    <t>Иванова Парасковья</t>
  </si>
  <si>
    <t>№ 504, 35 лет, хлебопашец</t>
  </si>
  <si>
    <t>Казанцева Мария (Тимофеевна)</t>
  </si>
  <si>
    <t>№ 870, 61 год, хлебопашец</t>
  </si>
  <si>
    <t>Каркавина Авдотья Сергеевна</t>
  </si>
  <si>
    <t>№ 618, 45 лет, рабочая</t>
  </si>
  <si>
    <t>Кокшаров Емельян Федорович</t>
  </si>
  <si>
    <t>№ 891, 64 года, хлебопашец</t>
  </si>
  <si>
    <t>Кокшаров Федор Емельянович</t>
  </si>
  <si>
    <t>№ 872, 35 лет, хлебопашец, 15</t>
  </si>
  <si>
    <t>Кокшарова Парасковья Николаевна</t>
  </si>
  <si>
    <t>№ 873, 35 лет, хлебопашец</t>
  </si>
  <si>
    <t>Комин Алексей Афонасьевич</t>
  </si>
  <si>
    <t>№ 553, 28 лет, хлебопашец</t>
  </si>
  <si>
    <t>Комин Алексей Михайлович</t>
  </si>
  <si>
    <t>№ 509, 46 лет, хлебопашец, 24</t>
  </si>
  <si>
    <t>Комин Андрей Алексеевич</t>
  </si>
  <si>
    <t>№ 511, 22 года, хлебопашец</t>
  </si>
  <si>
    <t>Комин Иван Иванович</t>
  </si>
  <si>
    <t>№ 142, 46 лет, хлебопашец</t>
  </si>
  <si>
    <t>Комин Михаил Филиппович</t>
  </si>
  <si>
    <t>№ 445, 75 лет, хлебопашец</t>
  </si>
  <si>
    <t>№ 447, 32 года, хлебопашец</t>
  </si>
  <si>
    <t>Комин Петр Афонасьевич</t>
  </si>
  <si>
    <t>№ 551, 37 лет, хлебопашец</t>
  </si>
  <si>
    <t>Комин Семен Васильевич</t>
  </si>
  <si>
    <t>№ 501, 50 лет, хлебопашец</t>
  </si>
  <si>
    <t>№ 402, 65 лет, хлебопашец</t>
  </si>
  <si>
    <t>Комин (Николай?)</t>
  </si>
  <si>
    <t>№ 475, -, хлебопашец</t>
  </si>
  <si>
    <t>Комина Анастасия Гавриловна</t>
  </si>
  <si>
    <t>№ 510, 46 лет, хлебопашец</t>
  </si>
  <si>
    <t>Комина Анна Андреевна</t>
  </si>
  <si>
    <t>№ 144, 31 год, хлебопашец</t>
  </si>
  <si>
    <t>№ 299, 40 лет, хлебопашец</t>
  </si>
  <si>
    <t>№ 307, 20 лет, хлебопашец, пользуется наемным трудом</t>
  </si>
  <si>
    <t>Комина Варвара Ивановна</t>
  </si>
  <si>
    <t>№ 403, 60 лет, хлебопашец</t>
  </si>
  <si>
    <t>Комина Елена Андреевна</t>
  </si>
  <si>
    <t>№ 310, 45 лет, хлебопашец</t>
  </si>
  <si>
    <t>Комина Елизавета</t>
  </si>
  <si>
    <t>№ 143, 46 лет, хлебопашец</t>
  </si>
  <si>
    <t>Комина Лидия Семеновна</t>
  </si>
  <si>
    <t>№ 502, 20 лет, хлебопашец</t>
  </si>
  <si>
    <t>Комина Мария Андреевна</t>
  </si>
  <si>
    <t>№ 311, 19 лет, хлебопашец</t>
  </si>
  <si>
    <t>Комина Мария Павловна</t>
  </si>
  <si>
    <t>№ 552, 35 лет, хлебопашец</t>
  </si>
  <si>
    <t>Коротаев Павел Семенович</t>
  </si>
  <si>
    <t>№ 902, -, -</t>
  </si>
  <si>
    <t>№ 191, 47 лет, хлебопашец</t>
  </si>
  <si>
    <t>№ 193, 40 лет, хлебопашец</t>
  </si>
  <si>
    <t>№ 211, 23 года, хлебопашец</t>
  </si>
  <si>
    <t>№ 120, 34 года, хлебопашец</t>
  </si>
  <si>
    <t>№ 121, 34 года, хлебопашец</t>
  </si>
  <si>
    <t>№ 789, 65 лет, хлебопашец</t>
  </si>
  <si>
    <t>№ 194, 40 лет, хлебопашец</t>
  </si>
  <si>
    <t>№ 212, 20 лет, хлебопашец</t>
  </si>
  <si>
    <t>№ 190, 35 лет, хлебопашец</t>
  </si>
  <si>
    <t>№ 192, 44 года, хлебопашец</t>
  </si>
  <si>
    <t>Краснов Виктор Васильевич</t>
  </si>
  <si>
    <t>№ 486, 24 года, хлебопашец</t>
  </si>
  <si>
    <t>Краснова Александра Васильевна</t>
  </si>
  <si>
    <t>№ 485, 19 лет, хлебопашец</t>
  </si>
  <si>
    <t>Краснова Александра М.</t>
  </si>
  <si>
    <t>№ 484, 49 лет, хлебопашец</t>
  </si>
  <si>
    <t>Кудрявцев Иван Николаевич</t>
  </si>
  <si>
    <t>№ 456, 63 года, хлебопашец</t>
  </si>
  <si>
    <t>Кудряшев Михаил Григорьевич</t>
  </si>
  <si>
    <t>№ 159, 40 лет, хлебопашец</t>
  </si>
  <si>
    <t>Кудряшева Анна Петровна</t>
  </si>
  <si>
    <t>№ 160, 33 года, хлебопашец</t>
  </si>
  <si>
    <t>Кузнецов Андрей Иванович</t>
  </si>
  <si>
    <t>№ 758, 35 лет, хлебопашец</t>
  </si>
  <si>
    <t>Кузнецов Егор Петрович</t>
  </si>
  <si>
    <t>№ 448, 60 лет, хлебопашец</t>
  </si>
  <si>
    <t>Кузнецов Иван Степанович</t>
  </si>
  <si>
    <t>№ 450, 32 года, хлебопашец</t>
  </si>
  <si>
    <t>Кузнецов Михаил Фил.</t>
  </si>
  <si>
    <t>№ 374, 35 лет, хлебопашец</t>
  </si>
  <si>
    <t>№ 449, 37 лет, хлебопашец</t>
  </si>
  <si>
    <t>Кузнецов Семен Филиппович</t>
  </si>
  <si>
    <t>№ 391, 18 лет, хлебопашец</t>
  </si>
  <si>
    <t>№ 451, 41 год, хлебопашец</t>
  </si>
  <si>
    <t>Кузнецов Степан Андреевич</t>
  </si>
  <si>
    <t>№ 455, 34 года, хлебопашец</t>
  </si>
  <si>
    <t>Кузнецов Филипп Петрович</t>
  </si>
  <si>
    <t>№ 388, 70 лет, хлебопашец</t>
  </si>
  <si>
    <t>Кузнецов Филипп Филиппович</t>
  </si>
  <si>
    <t>№ 389, 40 лет, хлебопашец</t>
  </si>
  <si>
    <t>Кузнецова Анисья (Николаевна)</t>
  </si>
  <si>
    <t>№ 399, 46 лет, хлебопашец</t>
  </si>
  <si>
    <t>Кузнецова Анна Яковлевна</t>
  </si>
  <si>
    <t>№ 375, 34 года, хлебопашец</t>
  </si>
  <si>
    <t>Кузнецова Апросинья Аф.</t>
  </si>
  <si>
    <t>№ 759, 28 лет, хлебопашец</t>
  </si>
  <si>
    <t>Кузнецова Елизавета Алекс.</t>
  </si>
  <si>
    <t>№ 461, 40 лет, хлебопашец</t>
  </si>
  <si>
    <t>Кузнецова Ксения Васильевна</t>
  </si>
  <si>
    <t>№ 390, 40 лет, хлебопашец</t>
  </si>
  <si>
    <t>Кузнецова Надежда Васильевна</t>
  </si>
  <si>
    <t>№ 392, 23 года, хлебопашец</t>
  </si>
  <si>
    <t>Кулаков Афонасий Павлович</t>
  </si>
  <si>
    <t>№ 682, -, хлебопашец</t>
  </si>
  <si>
    <t>№ 86, 46 лет, хлебопашец</t>
  </si>
  <si>
    <t>Кулакова Ульяна</t>
  </si>
  <si>
    <t>№ 87, 47 лет, хлебопашец</t>
  </si>
  <si>
    <t>Кучин Дмитрий Павлович</t>
  </si>
  <si>
    <t>№ 683, -, хлебопашец</t>
  </si>
  <si>
    <t>Кырчиков Виктор Николаевич</t>
  </si>
  <si>
    <t>№ 612, 33 года, маляр</t>
  </si>
  <si>
    <t>Кырчикова Варвара Андреевна</t>
  </si>
  <si>
    <t>№ 613, 28 лет, хлебопашец</t>
  </si>
  <si>
    <t>Лебедев Василий Константинович</t>
  </si>
  <si>
    <t>№ 275, 38 лет, хлебопашец</t>
  </si>
  <si>
    <t>Лебедев Иван Титович</t>
  </si>
  <si>
    <t>№ 424, 66 лет, хлебопашец</t>
  </si>
  <si>
    <t>№ 84, 40 лет, хлебопашец, не имеет (?)</t>
  </si>
  <si>
    <t>Лебедев Прокопий Константинович</t>
  </si>
  <si>
    <t>№ 277, 43 года, хлебопашец</t>
  </si>
  <si>
    <t>Лебедева Александра Федоровна</t>
  </si>
  <si>
    <t>№ 425, 22 года, хлебопашец</t>
  </si>
  <si>
    <t>Лебедева Анастасия Савват.</t>
  </si>
  <si>
    <t>№ 276, 33 года, хлебопашец</t>
  </si>
  <si>
    <t>Лебедева Екатерина</t>
  </si>
  <si>
    <t>№ 85, 30 лет, хлебопашец</t>
  </si>
  <si>
    <t>№ 18, 55 лет, хлебопашец</t>
  </si>
  <si>
    <t>Лузин Андрей Григорьевич</t>
  </si>
  <si>
    <t>№ 865, 35 лет, хлебопашец</t>
  </si>
  <si>
    <t>Лузин Григорий Васильевич</t>
  </si>
  <si>
    <t>№ 778, 35 лет, хлебопашец</t>
  </si>
  <si>
    <t>Лузин Иван Никандрович</t>
  </si>
  <si>
    <t>№ 207, 24 года, хлебопашец</t>
  </si>
  <si>
    <t>Лузин Леонид Андреевич</t>
  </si>
  <si>
    <t>№ 866, 20 лет, хлебопашец</t>
  </si>
  <si>
    <t>Лузин Никандр Васильевич</t>
  </si>
  <si>
    <t>№ 205, 48 лет, хлебопашец</t>
  </si>
  <si>
    <t>Лузин Петр Алексеевич</t>
  </si>
  <si>
    <t>№ 19, 25 лет, хлебопашец</t>
  </si>
  <si>
    <t>Лузин Яков Алексеевич</t>
  </si>
  <si>
    <t>№ 20, 21 год, хлебопашец</t>
  </si>
  <si>
    <t>Лузина Анна Яковлевна</t>
  </si>
  <si>
    <t>№ 61, 36 лет, хлебопашец</t>
  </si>
  <si>
    <t>Лузина Анфисья Федоровна</t>
  </si>
  <si>
    <t>№ 206, 45 лет, хлебопашец</t>
  </si>
  <si>
    <t>Лузина Евгения Николаевна</t>
  </si>
  <si>
    <t>№ 21, 19 лет, хлебопашец</t>
  </si>
  <si>
    <t>Лузина Евдокия Васильевна</t>
  </si>
  <si>
    <t>№ 208, 20 лет, хлебопашец</t>
  </si>
  <si>
    <t>Лузина Елизавета Петровна</t>
  </si>
  <si>
    <t>№ 779, 45 лет, хлебопашец</t>
  </si>
  <si>
    <t>Лузина Пелагея Николаевна</t>
  </si>
  <si>
    <t>№ 760, 45 лет, хлебопашец</t>
  </si>
  <si>
    <t>Лысьев Осип Петрович</t>
  </si>
  <si>
    <t>№ 777, -, хлебопашец</t>
  </si>
  <si>
    <t>Лысьев Петр Митрофанович</t>
  </si>
  <si>
    <t>№ 776, 35 лет, хлебопашец</t>
  </si>
  <si>
    <t>Лысьев Сергей Петрович</t>
  </si>
  <si>
    <t>№ 871, 20 лет, хлебопашец</t>
  </si>
  <si>
    <t>Лысьева Екатерина</t>
  </si>
  <si>
    <t>№ 895, -, -</t>
  </si>
  <si>
    <t>Макаров Иван Евстратьевич</t>
  </si>
  <si>
    <t>№ 131, 56 лет, хлебопашец</t>
  </si>
  <si>
    <t>Макарова Ульяна</t>
  </si>
  <si>
    <t>№ 132, 40 лет, хлебопашец</t>
  </si>
  <si>
    <t>Макрошов? Василий Дмитриевич</t>
  </si>
  <si>
    <t>№ 285, 18 лет, хлебопашец</t>
  </si>
  <si>
    <t>Малькова Юлия Андреевна</t>
  </si>
  <si>
    <t>№ 643, 65 лет, хлебопашец</t>
  </si>
  <si>
    <t>Манойлов Иван Петрович</t>
  </si>
  <si>
    <t>№ 808, 61 год, хлебопашец</t>
  </si>
  <si>
    <t>Манойлов Федор Максимович</t>
  </si>
  <si>
    <t>№ 790, 49 лет, хлебопашец</t>
  </si>
  <si>
    <t>Манойлов Федор Федорович</t>
  </si>
  <si>
    <t>№ 791, 27 лет, хлебопашец</t>
  </si>
  <si>
    <t>Марков Сергей Мартем.</t>
  </si>
  <si>
    <t>№ 438, 58 лет, хлебопашец</t>
  </si>
  <si>
    <t>Маркова Марфа</t>
  </si>
  <si>
    <t>№ 727, 35 лет, хлебопашец</t>
  </si>
  <si>
    <t>Медведев Василий (А.)</t>
  </si>
  <si>
    <t>№ 306, 40 лет, хлебопашец</t>
  </si>
  <si>
    <t>№ 305, 46 лет, хлебопашец</t>
  </si>
  <si>
    <t xml:space="preserve">Медведева Анна </t>
  </si>
  <si>
    <t>№ 302, 38 лет, хлебопашец</t>
  </si>
  <si>
    <t>№ 782, 34 года, хлебопашец, искл.</t>
  </si>
  <si>
    <t>Миронов Александр Иванович</t>
  </si>
  <si>
    <t>№ 653, 26 лет, учитель и земл(емер?), служил в Красной и Белой армии</t>
  </si>
  <si>
    <t>Михаилова Татьяна Гавриловна</t>
  </si>
  <si>
    <t>№ 892, -, -</t>
  </si>
  <si>
    <t>Могильников Гавриил Андреевич</t>
  </si>
  <si>
    <t>№ 478, 24 года, хлебопашец</t>
  </si>
  <si>
    <t>Могильников Иван Андреевич</t>
  </si>
  <si>
    <t>№ 479, 34 года, хлебопашец</t>
  </si>
  <si>
    <t>Могильников Илья Андреевич</t>
  </si>
  <si>
    <t>№ 483, 28 лет, хлебопашец</t>
  </si>
  <si>
    <t>Могильников Михаил Андреевич</t>
  </si>
  <si>
    <t>№ 476, 45 лет, хлебопашец</t>
  </si>
  <si>
    <t>Могильникова Александра Ивоилов.</t>
  </si>
  <si>
    <t>№ 477, 47 лет, хлебопашец</t>
  </si>
  <si>
    <t>Моржов Трофим Георгиевич</t>
  </si>
  <si>
    <t>№ 900, -, -</t>
  </si>
  <si>
    <t>Моржова Парасковья Георгиевна</t>
  </si>
  <si>
    <t>№ 901, -, -</t>
  </si>
  <si>
    <t>№ 862, 35 лет, хлебопашец</t>
  </si>
  <si>
    <t>Нестерова Алекс. А.</t>
  </si>
  <si>
    <t>№ 500, 38 лет, хлебопашец</t>
  </si>
  <si>
    <t>Нестерова Елена Васильевна</t>
  </si>
  <si>
    <t>№ 863, 30 лет, хлебопашец</t>
  </si>
  <si>
    <t>Неумоин Иван Владимирович</t>
  </si>
  <si>
    <t>№ 896, -, -</t>
  </si>
  <si>
    <t>Неумоин?</t>
  </si>
  <si>
    <t>№ 897, -, -</t>
  </si>
  <si>
    <t>Никонов Василий Федорович</t>
  </si>
  <si>
    <t>№ 834, 25 лет, хлебопашец</t>
  </si>
  <si>
    <t>Никонов Дмитрий Тихонович</t>
  </si>
  <si>
    <t>№ 895, 47 лет, хлебопашец</t>
  </si>
  <si>
    <t>Никонов Федор Андреевич</t>
  </si>
  <si>
    <t>№ 795, 54 года, хлебопашец</t>
  </si>
  <si>
    <t>Овсянников Иван (Осипович)</t>
  </si>
  <si>
    <t>№ 781, -, хлебопашец</t>
  </si>
  <si>
    <t>Овсянников Кирилл Васильевич</t>
  </si>
  <si>
    <t>№ 722, 32 года, хлебопашец</t>
  </si>
  <si>
    <t>№ 763, 33 года, хлебопашец</t>
  </si>
  <si>
    <t>Овсянников Петр Константинович</t>
  </si>
  <si>
    <t>№ 774, -, хлебопашец</t>
  </si>
  <si>
    <t>Овсянников Степан Васильевич</t>
  </si>
  <si>
    <t>№ 729, 25 лет, хлебопашец</t>
  </si>
  <si>
    <t>Овсянников Тимофей (Максимович)</t>
  </si>
  <si>
    <t>№ 822, 37 лет, хлебопашец</t>
  </si>
  <si>
    <t>Овсянникова Мария Степановна</t>
  </si>
  <si>
    <t>№ 730, 20 лет, хлебопашец</t>
  </si>
  <si>
    <t>Овсянникова Парасковья Лазаревна</t>
  </si>
  <si>
    <t>№ 764, 33 года, хлебопашец</t>
  </si>
  <si>
    <t>Окунев Александр Иванович</t>
  </si>
  <si>
    <t>№ 879, 53 года, хлебопашец</t>
  </si>
  <si>
    <t>Окунев Алексей Степанович</t>
  </si>
  <si>
    <t>№ 74, 50 лет, хлебопашец</t>
  </si>
  <si>
    <t>№ 880, 46 лет, хлебопашец</t>
  </si>
  <si>
    <t>Окунев Андрей Михайлович</t>
  </si>
  <si>
    <t>№ 641, 50 лет, хлебопашец</t>
  </si>
  <si>
    <t>Окунев Гавриил (Яковлевич)</t>
  </si>
  <si>
    <t>№ 111, 47 лет, хлебопашец</t>
  </si>
  <si>
    <t>№ 602, 30 лет, хлебопашец, тек. искл.</t>
  </si>
  <si>
    <t>Окунев Иван Иванович</t>
  </si>
  <si>
    <t>№ 877, 62 года, хлебопашец</t>
  </si>
  <si>
    <t>Окунев Иван Ильич</t>
  </si>
  <si>
    <t>№ 592, 23 года, хлебопашец</t>
  </si>
  <si>
    <t>Окунев Иван Филиппович</t>
  </si>
  <si>
    <t>№ 588, 50 лет, хлебопашец</t>
  </si>
  <si>
    <t>Окунев Илья Алексеевич</t>
  </si>
  <si>
    <t>№ 734, 50 лет, хлебопашец</t>
  </si>
  <si>
    <t>Окунев Илья Семенович</t>
  </si>
  <si>
    <t>№ 591, 46 лет, хлебопашец</t>
  </si>
  <si>
    <t>Окунев Матвей Николаевич</t>
  </si>
  <si>
    <t>№ 889, 46 лет, хлебопашец</t>
  </si>
  <si>
    <t>Окунев Николай Иванович</t>
  </si>
  <si>
    <t>№ 893, 80 лет, хлебопашец</t>
  </si>
  <si>
    <t>Окунев Николай</t>
  </si>
  <si>
    <t>№ 153, 49 лет, хлебопашец</t>
  </si>
  <si>
    <t>Окунев Осип Иванович</t>
  </si>
  <si>
    <t>№ 610, 55 лет, хлебопашец</t>
  </si>
  <si>
    <t>Окунев Павел Алексеевич</t>
  </si>
  <si>
    <t>№ 721, 56 лет, хлебопашец</t>
  </si>
  <si>
    <t>Окунев Петр Алексеевич</t>
  </si>
  <si>
    <t>№ 724, 44 года, хлебопашец</t>
  </si>
  <si>
    <t>Окунев Петр Васильевич</t>
  </si>
  <si>
    <t>№ 460, 42 года, хлебопашец</t>
  </si>
  <si>
    <t>Окунев Прокопий Семенович</t>
  </si>
  <si>
    <t>№ 629, 20 лет, хлебопашец</t>
  </si>
  <si>
    <t>Окунев Сергей Алексеевич</t>
  </si>
  <si>
    <t>№ 76, 28 лет, хлебопашец</t>
  </si>
  <si>
    <t>Окунев Сергей Степанович</t>
  </si>
  <si>
    <t>№ 884, 61 год, хлебопашец</t>
  </si>
  <si>
    <t>Окунев  Фрол Ильич</t>
  </si>
  <si>
    <t>№ 594, 19 лет, хлебопашец</t>
  </si>
  <si>
    <t>Окунева Авдотья Михайловна</t>
  </si>
  <si>
    <t>№ 75, 45 лет, хлебопашец</t>
  </si>
  <si>
    <t>Окунева Агафья Ларионовна</t>
  </si>
  <si>
    <t>№ 284, 21 год, хлебопашец</t>
  </si>
  <si>
    <t>№ 600, 49 лет, хлебопашец</t>
  </si>
  <si>
    <t>Окунева Александра Васильевнв</t>
  </si>
  <si>
    <t>№ 439, 24 года, хлебопашец</t>
  </si>
  <si>
    <t>№ 77, 26 лет, хлебопашец</t>
  </si>
  <si>
    <t>Окунева Анна Петровна</t>
  </si>
  <si>
    <t>№ 593, 47 лет, хлебопашец</t>
  </si>
  <si>
    <t>Окунева Анна Филипповна</t>
  </si>
  <si>
    <t>№ 154, 45 лет, хлебопашец</t>
  </si>
  <si>
    <t>Окунева Анна</t>
  </si>
  <si>
    <t>№ 723, 48 лет, хлебопашец</t>
  </si>
  <si>
    <t>Окунева Варвара Степановна</t>
  </si>
  <si>
    <t>№ 589, 39 лет, хлебопашец</t>
  </si>
  <si>
    <t>Окунева Вера Ларионовна</t>
  </si>
  <si>
    <t>№ 283, 26 лет, хлебопашец</t>
  </si>
  <si>
    <t>Окунева Екатерина Ивановна</t>
  </si>
  <si>
    <t>№ 874, 47 лет, хлебопашец</t>
  </si>
  <si>
    <t>Окунева Екатерина Савельевна</t>
  </si>
  <si>
    <t>№ 611, 52 года, хлебопашец</t>
  </si>
  <si>
    <t>Окунева Елена Васильевна</t>
  </si>
  <si>
    <t>№ 601, 24 года, хлебопашец</t>
  </si>
  <si>
    <t>Окунева Лидия Ивановна</t>
  </si>
  <si>
    <t>№ 603, 27 лет, хлебопашец</t>
  </si>
  <si>
    <t>Окунева Мария Ларионовна</t>
  </si>
  <si>
    <t>№ 446, -, хлебопашец</t>
  </si>
  <si>
    <t>Окунева Мария</t>
  </si>
  <si>
    <t>№ 112, 29 лет, хлебопашец</t>
  </si>
  <si>
    <t>Окунева Ольга Дмитриевна</t>
  </si>
  <si>
    <t>№ 590, 35 лет, хлебопашец</t>
  </si>
  <si>
    <t>Окунева Ульяна Григорьевна</t>
  </si>
  <si>
    <t>№ 630, 20 лет, хлебопашец</t>
  </si>
  <si>
    <t>Осипов Василий Федорович</t>
  </si>
  <si>
    <t>№ 363, 60 лет, хлебопашец</t>
  </si>
  <si>
    <t>Осипов Иван Федорович</t>
  </si>
  <si>
    <t>№ 346, 47 лет, хлебопашец</t>
  </si>
  <si>
    <t>Осипов Максим Васильевич</t>
  </si>
  <si>
    <t>№ 365, 20 лет, хлебопашец</t>
  </si>
  <si>
    <t>Осипов Трофим Федорович</t>
  </si>
  <si>
    <t>№ 367, 52 года, хлебопашец</t>
  </si>
  <si>
    <t>Осипова Афонасья Федоровна</t>
  </si>
  <si>
    <t>№ 368, 30 лет, хлебопашец</t>
  </si>
  <si>
    <t>Осипова Матрена Ивановна</t>
  </si>
  <si>
    <t>№ 347, 41 год, хлебопашец</t>
  </si>
  <si>
    <t>Осипова Степанида Петровна</t>
  </si>
  <si>
    <t>№ 364, 50 лет, хлебопашец</t>
  </si>
  <si>
    <t>Осипова Таисья Ивановна</t>
  </si>
  <si>
    <t>№ 366, 20 лет, хлебопашец</t>
  </si>
  <si>
    <t>Осколков Андрей Иванович</t>
  </si>
  <si>
    <t>№ 145, 45 лет, хлебопашец</t>
  </si>
  <si>
    <t>Осколков Егор Федорович</t>
  </si>
  <si>
    <t>№ 675, -, хлебопашец</t>
  </si>
  <si>
    <t>Осколкова Дарья Яковлевна</t>
  </si>
  <si>
    <t>№ 146, 45 лет, хлебопашец</t>
  </si>
  <si>
    <t>Ошурков Иван Васильевич</t>
  </si>
  <si>
    <t>№ 127, 45 лет, хлебопашец</t>
  </si>
  <si>
    <t>Ошурков Сергей Васильевич</t>
  </si>
  <si>
    <t>№ 890, -, -</t>
  </si>
  <si>
    <t>Ошуркова Евгения</t>
  </si>
  <si>
    <t>№ 128, 40 лет, хлебопашец</t>
  </si>
  <si>
    <t>Панов Афонасий Андреевич</t>
  </si>
  <si>
    <t>№ 864, 50 лет, хлебопашец</t>
  </si>
  <si>
    <t>Панов Герасим Дмитриевич</t>
  </si>
  <si>
    <t>№ 860, 35 лет, хлебопашец</t>
  </si>
  <si>
    <t>Панов Иван Сергеевич</t>
  </si>
  <si>
    <t>№ 824, 45 лет, хлебопашец</t>
  </si>
  <si>
    <t>Панов Петр Алексеевич</t>
  </si>
  <si>
    <t>№ 767, 31 год, хлебопашец</t>
  </si>
  <si>
    <t>Панов Семен</t>
  </si>
  <si>
    <t>№ 775, 25 лет, хлебопашец</t>
  </si>
  <si>
    <t>Панова Александра Семеновна</t>
  </si>
  <si>
    <t>№ 768, 31 год, хлебопашец</t>
  </si>
  <si>
    <t>Панова Анна Андреевна</t>
  </si>
  <si>
    <t>№ 861, 64 года, хлебопашец</t>
  </si>
  <si>
    <t>Пашнин Владимир Лаврентьевич</t>
  </si>
  <si>
    <t>№ 163, 52 года, хлебопашец</t>
  </si>
  <si>
    <t>Пашнин Гавриил Иванович</t>
  </si>
  <si>
    <t>№ 639, 25 лет, хлебопашец</t>
  </si>
  <si>
    <t>Пашнина Авдотья Петровна</t>
  </si>
  <si>
    <t>№ 164, 38 лет, хлебопашец</t>
  </si>
  <si>
    <t>Пашнина Дарья Ивановна</t>
  </si>
  <si>
    <t>№ 640, 24 года, хлебопашец</t>
  </si>
  <si>
    <t>Пашнина Ксения Игнатьевна</t>
  </si>
  <si>
    <t>№ 687, 21 год, хлебопашец</t>
  </si>
  <si>
    <t>Пашнина Мария</t>
  </si>
  <si>
    <t>№ 474, -, хлебопашец</t>
  </si>
  <si>
    <t>Печкисов Василий Алексеевич</t>
  </si>
  <si>
    <t>№ 869, 45 лет, хлебопашец</t>
  </si>
  <si>
    <t>Побегалов Прокопий Ильич</t>
  </si>
  <si>
    <t>№ 441, 24 года, хлебопашец</t>
  </si>
  <si>
    <t>Помазина Татьяна Ивановна</t>
  </si>
  <si>
    <t>№ 636, 48 лет, ?</t>
  </si>
  <si>
    <t>№ 335, 23 года, хлебопашец</t>
  </si>
  <si>
    <t>№ 378, 55 лет, хлебопашец</t>
  </si>
  <si>
    <t>№ 342, 43 года, хлебопашец</t>
  </si>
  <si>
    <t>№ 519, 29 лет, хлебопашец</t>
  </si>
  <si>
    <t>№ 420, -, хлебопашец</t>
  </si>
  <si>
    <t>№ 557, 47 лет, хлебопашец</t>
  </si>
  <si>
    <t>№ 560, 40 лет, хлебопашец</t>
  </si>
  <si>
    <t>№ 107, 27 лет, хлебопашец</t>
  </si>
  <si>
    <t>№ 419, 57 лет, хлебопашец</t>
  </si>
  <si>
    <t>№ 539, 45 лет, хлебопашец</t>
  </si>
  <si>
    <t>№ 396, 24 года, хлебопашец</t>
  </si>
  <si>
    <t>№ 527, 49 лет, хлебопашец</t>
  </si>
  <si>
    <t>№ 541, 62 года, хлебопашец</t>
  </si>
  <si>
    <t>№ 567, 48 лет, хлебопашец</t>
  </si>
  <si>
    <t>№ 614, 47 лет, хлебопашец</t>
  </si>
  <si>
    <t>№ 881, 50 лет, хлебопашец</t>
  </si>
  <si>
    <t>№ 361, 90 лет, хлебопашец</t>
  </si>
  <si>
    <t>№ 561, 55 лет, хлебопашец</t>
  </si>
  <si>
    <t>№ 890, 50 лет, хлебопашец</t>
  </si>
  <si>
    <t>№ 94, 24 года, хлебопашец</t>
  </si>
  <si>
    <t>№ 350, 38 лет, хлебопашец</t>
  </si>
  <si>
    <t>№ 404, 32 года, хлебопашец</t>
  </si>
  <si>
    <t>№ 563, 75 лет, хлебопашец</t>
  </si>
  <si>
    <t>№ 106, 77 лет, хлебопашец</t>
  </si>
  <si>
    <t>№ 409, 57 лет, хлебопашец</t>
  </si>
  <si>
    <t>№ 518, 30 лет, хлебопашец</t>
  </si>
  <si>
    <t>№ 555, 47 лет, хлебопашец</t>
  </si>
  <si>
    <t>№ 407, 60 лет, хлебопашец</t>
  </si>
  <si>
    <t>№ 565, 41 год, хлебопашец</t>
  </si>
  <si>
    <t>№ 291, 46 лет, хлебопашец</t>
  </si>
  <si>
    <t>№ 319, 47 лет, хлебопашец</t>
  </si>
  <si>
    <t>№ 559, 38 лет, хлебопашец</t>
  </si>
  <si>
    <t>№ 899, -, -</t>
  </si>
  <si>
    <t>№ 413, 46 лет, хлебопашец</t>
  </si>
  <si>
    <t>№ 545, 23 года, хлебопашец</t>
  </si>
  <si>
    <t>№ 70, 33 года, хлебопашец</t>
  </si>
  <si>
    <t>№ 562, 19 лет, хлебопашец</t>
  </si>
  <si>
    <t>№ 615, 20 лет, хлебопашец</t>
  </si>
  <si>
    <t>№ 546, 19 лет, хлебопашец</t>
  </si>
  <si>
    <t>№ 411, 25 лет, хлебопашец</t>
  </si>
  <si>
    <t>№ 543, 44 года, хлебопашец</t>
  </si>
  <si>
    <t>№ 336, 23 года, хлебопашец</t>
  </si>
  <si>
    <t>№ 292, 35 лет, хлебопашец</t>
  </si>
  <si>
    <t>№ 414, 45 лет, хлебопашец</t>
  </si>
  <si>
    <t>№ 338, 21 год, хлебопашец</t>
  </si>
  <si>
    <t>№ 558, 24 года, хлебопашец</t>
  </si>
  <si>
    <t>№ 421, 50 лет, хлебопашец</t>
  </si>
  <si>
    <t>№ 568, 33 года, хлебопашец</t>
  </si>
  <si>
    <t>№ 564, 24 года, хлебопашец</t>
  </si>
  <si>
    <t>№ 406, 60 лет, хлебопашец</t>
  </si>
  <si>
    <t>№ 538, 49 лет, хлебопашец</t>
  </si>
  <si>
    <t>№ 337, 55 лет, хлебопашец</t>
  </si>
  <si>
    <t>№ 351, 32 года, хлебопашец</t>
  </si>
  <si>
    <t>№ 616, 45 лет, хлебопашец</t>
  </si>
  <si>
    <t>№ 650, 36 лет, хлебопашец</t>
  </si>
  <si>
    <t>№ 379, 46 лет, хлебопашец</t>
  </si>
  <si>
    <t>№ 566, 41 год, хлебопашец</t>
  </si>
  <si>
    <t>№ 544, 42 года, хлебопашец</t>
  </si>
  <si>
    <t>№ 540, 44 года, хлебопашец</t>
  </si>
  <si>
    <t>№ 109, 28 лет, хлебопашец</t>
  </si>
  <si>
    <t>№ 320, 45 лет, хлебопашец</t>
  </si>
  <si>
    <t>№ 410, 54 года, хлебопашец</t>
  </si>
  <si>
    <t>№ 556, 47 лет, хлебопашец</t>
  </si>
  <si>
    <t>№ 95, 24 года, хлебопашец</t>
  </si>
  <si>
    <t>№ 408, 56 лет, хлебопашец</t>
  </si>
  <si>
    <t>№ 108, 21 год, хлебопашец</t>
  </si>
  <si>
    <t>№ 542, 62 года, хлебопашец</t>
  </si>
  <si>
    <t>№ 398, 49 лет, хлебопашец</t>
  </si>
  <si>
    <t>№ 547, 22 года, хлебопашец</t>
  </si>
  <si>
    <t>№ 71, 32 года, хлебопашец</t>
  </si>
  <si>
    <t>№ 362, 90 лет, хлебопашец</t>
  </si>
  <si>
    <t>№ 412, 56 лет, хлебопашец</t>
  </si>
  <si>
    <t>№ 405, 30 лет, хлебопашец</t>
  </si>
  <si>
    <t>№ 343, 42 года, хлебопашец</t>
  </si>
  <si>
    <t>№ 617, 65 лет, хлебопашец</t>
  </si>
  <si>
    <t>Решетников Порфирий Алек.</t>
  </si>
  <si>
    <t>№ 487, 40 лет, хлебопашец</t>
  </si>
  <si>
    <t>№ 488, 40 лет, хлебопашец</t>
  </si>
  <si>
    <t>Рубцов Василий Яковлевич</t>
  </si>
  <si>
    <t>№ 882, 41 год, хлебопашец</t>
  </si>
  <si>
    <t>№ 575, 47 лет, хлебопашец</t>
  </si>
  <si>
    <t>Сверчков Петр Васильевич</t>
  </si>
  <si>
    <t>№ 576, 25 лет, хлебопашец</t>
  </si>
  <si>
    <t>Сверчков Прокопий Михайлович</t>
  </si>
  <si>
    <t>№ 582, 30 лет, хлебопашец, 17</t>
  </si>
  <si>
    <t>Сверчкова Александра Ивановна</t>
  </si>
  <si>
    <t>№ 577, 27 лет, хлебопашец</t>
  </si>
  <si>
    <t>Сверчкова Анна Васильевна</t>
  </si>
  <si>
    <t>№ 583, 30 лет, хлебопашец</t>
  </si>
  <si>
    <t>Свинин Александр Степанович</t>
  </si>
  <si>
    <t>№ 814, 18 лет, хлебопашец</t>
  </si>
  <si>
    <t>Свинин Василий</t>
  </si>
  <si>
    <t>№ 812, 20 лет, хлебопашец</t>
  </si>
  <si>
    <t>№ 578, 42 года, хлебопашец</t>
  </si>
  <si>
    <t>Свинин Петр (Дмитриевич)</t>
  </si>
  <si>
    <t>№ 810, 30 лет, хлебопашец</t>
  </si>
  <si>
    <t>Свинин Семен Степанович</t>
  </si>
  <si>
    <t>№ 813, 25 лет, хлебопашец</t>
  </si>
  <si>
    <t>Свинин Филипп Павлович</t>
  </si>
  <si>
    <t>№ 580, 19 лет, хлебопашец</t>
  </si>
  <si>
    <t>Свинина Вера Федоровна</t>
  </si>
  <si>
    <t>№ 599, -, хлебопашец</t>
  </si>
  <si>
    <t>Свинина Павла Михайловна</t>
  </si>
  <si>
    <t>№ 519, 40 лет, хлебопашец</t>
  </si>
  <si>
    <t>Свинина Парасковья Петровна</t>
  </si>
  <si>
    <t>№ 581, 18 лет, хлебопашец</t>
  </si>
  <si>
    <t>№ 848, 45 лет, хлебопашец</t>
  </si>
  <si>
    <t>Севастьянов Григорий Иванович</t>
  </si>
  <si>
    <t>№ 185, 24 года, хлебопашец</t>
  </si>
  <si>
    <t>№ 841, 46 лет, хлебопашец</t>
  </si>
  <si>
    <t>Севастьянов Дмитрий Иванович</t>
  </si>
  <si>
    <t>№ 34, 42 года, хлебопашец</t>
  </si>
  <si>
    <t>Севастьянов Лаврентий Иванович</t>
  </si>
  <si>
    <t>№ 182, 30 лет, хлебопашец</t>
  </si>
  <si>
    <t>Севастьянов Матвей Васильевич</t>
  </si>
  <si>
    <t>№ 178, 80 лет, хлебопашец</t>
  </si>
  <si>
    <t>Севастьянов Матвей Матвеевич</t>
  </si>
  <si>
    <t>№ 180, 56 лет, хлебопашец</t>
  </si>
  <si>
    <t>Севастьянов Михаил Григорьевич</t>
  </si>
  <si>
    <t>№ 843, 25 лет, хлебопашец</t>
  </si>
  <si>
    <t>Севастьянов Николай Алексеевич</t>
  </si>
  <si>
    <t>№ 850, 20 лет, хлебопашец</t>
  </si>
  <si>
    <t>Севастьянов Петр Иванович</t>
  </si>
  <si>
    <t>№ 186, 25 лет, хлебопашец</t>
  </si>
  <si>
    <t>Севастьянов Прокопий Дмитриевич</t>
  </si>
  <si>
    <t>№ 234, 32 года, хлебопашец</t>
  </si>
  <si>
    <t>Севастьянов Прокопий Дмитриевич (повтор?)</t>
  </si>
  <si>
    <t>№ 236, 32 года, хлебопашец</t>
  </si>
  <si>
    <t>Севастьянов Спиридон Михайлович</t>
  </si>
  <si>
    <t>№ 241, 57 лет, хлебопашец</t>
  </si>
  <si>
    <t>Севастьянов Яков Дмитриевич</t>
  </si>
  <si>
    <t>№ 232, 38 лет, хлебопашец</t>
  </si>
  <si>
    <t>Севастьянова Анисья Федоровна</t>
  </si>
  <si>
    <t>№ 849, 44 года, хлебопашец</t>
  </si>
  <si>
    <t>Севастьянова Анна Алексеевна</t>
  </si>
  <si>
    <t>№ 842, 35 лет, хлебопашец</t>
  </si>
  <si>
    <t>Севастьянова Анна Ивановна</t>
  </si>
  <si>
    <t>№ 242, 57 лет, хлебопашец</t>
  </si>
  <si>
    <t>Севастьянова Анна Михайловна</t>
  </si>
  <si>
    <t>№ 844, 22 года, хлебопашец</t>
  </si>
  <si>
    <t>Севастьянова Анна Семеновна</t>
  </si>
  <si>
    <t>№ 233, 35 лет, хлебопашец</t>
  </si>
  <si>
    <t>Севастьянова Анна Семеновна (повтор?)</t>
  </si>
  <si>
    <t>№ 235, 35 лет, хлебопашец</t>
  </si>
  <si>
    <t>Севастьянова Евдокия Алекс.</t>
  </si>
  <si>
    <t>№ 851, 20 лет, хлебопашец</t>
  </si>
  <si>
    <t>Севастьянова Елена Ивановна</t>
  </si>
  <si>
    <t>№ 181, 52 года, хлебопашец</t>
  </si>
  <si>
    <t>Севастьянова Елизавета Максимовна</t>
  </si>
  <si>
    <t>№ 184, 57 лет, хлебопашец</t>
  </si>
  <si>
    <t>Севастьянова Ефросинья Григорьевна</t>
  </si>
  <si>
    <t>№ 237, 28 лет, хлебопашец</t>
  </si>
  <si>
    <t>Севастьянова Ксения Дмитриевна</t>
  </si>
  <si>
    <t>№ 35, 24 года, хлебопашец</t>
  </si>
  <si>
    <t>Севастьянова Марфа Васильевна</t>
  </si>
  <si>
    <t>№ 179, 80 лет, хлебопашец</t>
  </si>
  <si>
    <t>Севастьянова Пелагея Осиповна</t>
  </si>
  <si>
    <t>№ 183, 22 года, хлебопашец</t>
  </si>
  <si>
    <t>Севастьянова Татьяна Андреевна</t>
  </si>
  <si>
    <t>№ 187, 19 лет, хлебопашец</t>
  </si>
  <si>
    <t>Силов Александр Андреевич</t>
  </si>
  <si>
    <t>№ 709, 24 года, хлебопашец</t>
  </si>
  <si>
    <t>Силов Андрей Васильевич</t>
  </si>
  <si>
    <t>№ 708, 61 год, хлебопашец</t>
  </si>
  <si>
    <t>Силов Василий Григорьевич</t>
  </si>
  <si>
    <t>№ 710, 37 лет, хлебопашец</t>
  </si>
  <si>
    <t>Силов Григорий Васильевич</t>
  </si>
  <si>
    <t>№ 712, 63 года, хлебопашец</t>
  </si>
  <si>
    <t>Силов Григорий Михайлович</t>
  </si>
  <si>
    <t>№ 770, 28 лет, хлебопашец</t>
  </si>
  <si>
    <t xml:space="preserve">Силов Дмитрий </t>
  </si>
  <si>
    <t>№ 816, 32 года, хлебопашец</t>
  </si>
  <si>
    <t>Силов Иван Николаевич</t>
  </si>
  <si>
    <t>№ 867, 23 года, хлебопашец</t>
  </si>
  <si>
    <t>Силов Михаил Андреевич</t>
  </si>
  <si>
    <t>№ 706, 36 лет, хлебопашец</t>
  </si>
  <si>
    <t>Силов Николай Алекс.</t>
  </si>
  <si>
    <t>№ 809, 55 лет, хлебопашец</t>
  </si>
  <si>
    <t>Силов Николай Григорьевич</t>
  </si>
  <si>
    <t>№ 713, 25 лет, хлебопашец</t>
  </si>
  <si>
    <t>Силов Николай Яковлевич</t>
  </si>
  <si>
    <t>№ 246, 35 лет, хлебопашец</t>
  </si>
  <si>
    <t>Силов Павел</t>
  </si>
  <si>
    <t>№ 811, 20 лет, хлебопашец</t>
  </si>
  <si>
    <t>Силов Семен Михайлович</t>
  </si>
  <si>
    <t>№ 239, 35 лет, хлебопашец</t>
  </si>
  <si>
    <t>Силов Степан Дмитриевич</t>
  </si>
  <si>
    <t>№ 493, 23 года, хлебопашец</t>
  </si>
  <si>
    <t>Силова Авдотья Андреевна</t>
  </si>
  <si>
    <t>№ 494, 42 года, хлебопашец</t>
  </si>
  <si>
    <t>Силова Александра Ст.</t>
  </si>
  <si>
    <t>№ 868, 24 года, хлебопашец</t>
  </si>
  <si>
    <t>Силова Анна Григорьевна</t>
  </si>
  <si>
    <t>№ 707, 23 года, хлебопашец</t>
  </si>
  <si>
    <t>Силова Анна Яковлевна</t>
  </si>
  <si>
    <t>№ 347, 35 лет, хлебопашец</t>
  </si>
  <si>
    <t>Силова Варвара</t>
  </si>
  <si>
    <t>№ 711, 30 лет, хлебопашец</t>
  </si>
  <si>
    <t>Силова Евдокия Григорьевна</t>
  </si>
  <si>
    <t>№ 240, 35 лет, хлебопашец</t>
  </si>
  <si>
    <t>Силова Ефросинья</t>
  </si>
  <si>
    <t>№ 473, -, хлебопашец</t>
  </si>
  <si>
    <t>Силова Матрена</t>
  </si>
  <si>
    <t>№ 714, 25 лет, хлебопашец</t>
  </si>
  <si>
    <t>№ 802, 27 лет, хлебопашец</t>
  </si>
  <si>
    <t>Собакин Николай Васильевич</t>
  </si>
  <si>
    <t>№ 59, 22 года, хлебопашец</t>
  </si>
  <si>
    <t>Собакин Степан Петрович</t>
  </si>
  <si>
    <t>№ 36, 38 лет, хлебопашец</t>
  </si>
  <si>
    <t>Собакина Варвара Петровна</t>
  </si>
  <si>
    <t>№ 60, 50 лет, хлебопашец</t>
  </si>
  <si>
    <t>Собакина Пелагея Сидоровна</t>
  </si>
  <si>
    <t>№ 37, 36 лет, хлебопашец</t>
  </si>
  <si>
    <t>Софонов Герасим Петрович</t>
  </si>
  <si>
    <t>№ 665, 20 лет, хлебопашец</t>
  </si>
  <si>
    <t>Софонов Егор Петрович</t>
  </si>
  <si>
    <t>№ 663, 26 лет, хлебопашец</t>
  </si>
  <si>
    <t>№ 690, 30 лет, хлебопашец</t>
  </si>
  <si>
    <t>№ 666, 32 года, хлебопашец</t>
  </si>
  <si>
    <t>Софонова Варвара Михайловна</t>
  </si>
  <si>
    <t>№ 667, 32 года, хлебопашец</t>
  </si>
  <si>
    <t>Софонова Татьяна Александровна</t>
  </si>
  <si>
    <t>№ 664, 20 лет, хлебопашец</t>
  </si>
  <si>
    <t>Софонова Татьяна Степановна</t>
  </si>
  <si>
    <t>№ 691, 30 лет, хлебопашец</t>
  </si>
  <si>
    <t>№ 339, 43 года, хлебопашец</t>
  </si>
  <si>
    <t>Спицын Евгений Михайлович</t>
  </si>
  <si>
    <t>№ 340, 42 года, хлебопашец</t>
  </si>
  <si>
    <t>Спицын Егор Андреевич</t>
  </si>
  <si>
    <t>№ 341, 20 лет, хлебопашец</t>
  </si>
  <si>
    <t>Спицын Егор Иванович</t>
  </si>
  <si>
    <t>№ 2, 26 лет, хлебопашец</t>
  </si>
  <si>
    <t>Спицын Ефим Евлент.</t>
  </si>
  <si>
    <t>№ 266, 50 лет, хлебопашец</t>
  </si>
  <si>
    <t>Спицын Иван Николаевич</t>
  </si>
  <si>
    <t>№ 1, 60 лет, хлебопашец</t>
  </si>
  <si>
    <t>Спицын Илья Якимович (Иоакимович)</t>
  </si>
  <si>
    <t>№ 268, -, хлебопашец</t>
  </si>
  <si>
    <t>Спицын Лаврентий Яковлевич</t>
  </si>
  <si>
    <t>№ 400, 37 лет, хлебопашец</t>
  </si>
  <si>
    <t>Спицын Матвей Андроникович</t>
  </si>
  <si>
    <t>№ 279, 55 лет, хлебопашец</t>
  </si>
  <si>
    <t>Спицын Осип Иванович</t>
  </si>
  <si>
    <t>№ 43, 46 лет, хлебопашец</t>
  </si>
  <si>
    <t>Спицын Осип Прокопьевич</t>
  </si>
  <si>
    <t>№ 606, 50 лет, хлебопашец</t>
  </si>
  <si>
    <t>Спицын Павел Иванович</t>
  </si>
  <si>
    <t>№ 55, 42 года, хлебопашец</t>
  </si>
  <si>
    <t>Спицын Семен</t>
  </si>
  <si>
    <t>№ 472, -, хлебопашец</t>
  </si>
  <si>
    <t>Спицын Степан Осипович</t>
  </si>
  <si>
    <t>№ 608, 25 лет, хлебопашец</t>
  </si>
  <si>
    <t>Спицын Федор Николаевич</t>
  </si>
  <si>
    <t>№ 129, 48 лет, хлебопашец</t>
  </si>
  <si>
    <t xml:space="preserve">Спицына Александра Алекс. </t>
  </si>
  <si>
    <t>№ 280, 34 года, хлебопашец</t>
  </si>
  <si>
    <t>Спицына Александра Даниловна</t>
  </si>
  <si>
    <t>№ 677, 26 лет, хлебопашец</t>
  </si>
  <si>
    <t>Спицына Анастасия Николаевна</t>
  </si>
  <si>
    <t>№ 44, 42 года, хлебопашец</t>
  </si>
  <si>
    <t>Спицына Анна Степановна</t>
  </si>
  <si>
    <t>№ 56, 40 лет, хлебопашец</t>
  </si>
  <si>
    <t>Спицына Евдокия</t>
  </si>
  <si>
    <t>№ 267, 43 года, хлебопашец</t>
  </si>
  <si>
    <t>Спицына Елизавета Осиповна</t>
  </si>
  <si>
    <t>№ 609, 20 лет, хлебопашец</t>
  </si>
  <si>
    <t>Спицына Мария Дмитриевна</t>
  </si>
  <si>
    <t>№ 401, 37 лет, хлебопашец</t>
  </si>
  <si>
    <t>Спицына Мария Осиповна</t>
  </si>
  <si>
    <t>№ 607, 49 лет, хлебопашец</t>
  </si>
  <si>
    <t>Спицына Матрена</t>
  </si>
  <si>
    <t>№ 130, 37 лет, хлебопашец</t>
  </si>
  <si>
    <t>Стариков Федор Васильевич</t>
  </si>
  <si>
    <t>№ 598, -, хлебопашец</t>
  </si>
  <si>
    <t>Стариков Федор Иванович</t>
  </si>
  <si>
    <t>№ 765, 32 года, хлебопашец</t>
  </si>
  <si>
    <t>Старикова Матрена Степановна</t>
  </si>
  <si>
    <t>№ 766, 25 лет, хлебопашец</t>
  </si>
  <si>
    <t>Стрельцов Александр Сергеевич</t>
  </si>
  <si>
    <t>№ 138, 32 года, хлебопашец</t>
  </si>
  <si>
    <t>Стрельцов Алекс. Сергеевич</t>
  </si>
  <si>
    <t>№ 141, 35 лет, хлебопашец</t>
  </si>
  <si>
    <t>Стрельцов Гавриил Сергеевич</t>
  </si>
  <si>
    <t>№ 140, 30 лет, хлебопашец</t>
  </si>
  <si>
    <t>Стрельцов Иван Сергеевич</t>
  </si>
  <si>
    <t>№ 136, 33 года, хлебопашец</t>
  </si>
  <si>
    <t>Стрельцова Анна Савват.</t>
  </si>
  <si>
    <t>№ 139, 18 лет, хлебопашец</t>
  </si>
  <si>
    <t>Стрельцова Ольга</t>
  </si>
  <si>
    <t>№ 137, 23 года, хлебопашец</t>
  </si>
  <si>
    <t>Сырвачев Алексей Петрович</t>
  </si>
  <si>
    <t>№ 857, 40 лет, хлебопашец</t>
  </si>
  <si>
    <t>Сырвачев Афонасий Ипатьевич</t>
  </si>
  <si>
    <t>№ 743, 45 лет, хлебопашец</t>
  </si>
  <si>
    <t>Сырвачев Василий Яковлевич</t>
  </si>
  <si>
    <t>№ 828, 60 лет, хлебопашец</t>
  </si>
  <si>
    <t>Сырвачев Иван Филиппович</t>
  </si>
  <si>
    <t>№ 631, 35 лет, хлебопашец</t>
  </si>
  <si>
    <t>Сырвачев Николай Степанович</t>
  </si>
  <si>
    <t>№ 54, 22 года, хлебопашец</t>
  </si>
  <si>
    <t>Сырвачев Сергей Петрович</t>
  </si>
  <si>
    <t>№ 859, 61 год, хлебопашец</t>
  </si>
  <si>
    <t>Сырвачев Степан Михайлович</t>
  </si>
  <si>
    <t>№ 52, 53 года, хлебопашец</t>
  </si>
  <si>
    <t>Сырвачева Анастасия Григорьевна</t>
  </si>
  <si>
    <t>№ 53, 46 лет, хлебопашец</t>
  </si>
  <si>
    <t>Сырвачева Крестина Афонасьевна</t>
  </si>
  <si>
    <t>№ 745, 23 года, хлебопашец</t>
  </si>
  <si>
    <t>Сырвачева Мария Алексеевна</t>
  </si>
  <si>
    <t>№ 632, 34 года, хлебопашец</t>
  </si>
  <si>
    <t>Сырвачева Наталья Гавриловна</t>
  </si>
  <si>
    <t>№ 744, 44 года, хлебопашец</t>
  </si>
  <si>
    <t>Томилова Графира Ивановна</t>
  </si>
  <si>
    <t>№ 876, 30 лет, хлебопашец</t>
  </si>
  <si>
    <t>Топоркова Мария Алекс.</t>
  </si>
  <si>
    <t>№ 891, -, -</t>
  </si>
  <si>
    <t>Усольцов Александр Андреевич</t>
  </si>
  <si>
    <t>№ 855, 19 лет, хлебопашец</t>
  </si>
  <si>
    <t>Усольцов Александр Васильевич</t>
  </si>
  <si>
    <t>№ 845, 63 года, хлебопашец</t>
  </si>
  <si>
    <t>№ 293, 37 лет?, хлебопашец</t>
  </si>
  <si>
    <t>Усольцов Алекс. Алекс.</t>
  </si>
  <si>
    <t>№ 833, 24 года, хлебопашец</t>
  </si>
  <si>
    <t>Усольцов Алексей Андреевич</t>
  </si>
  <si>
    <t>№ 732, 35 лет, хлебопашец</t>
  </si>
  <si>
    <t>Усольцов Алексей Яковлевич</t>
  </si>
  <si>
    <t>№ 489, 24 года, хлебопашец</t>
  </si>
  <si>
    <t>№ 507, 19 лет, хлебопашец</t>
  </si>
  <si>
    <t>Усольцов Андрей Михайлович</t>
  </si>
  <si>
    <t>№ 854, 55 лет, хлебопашец</t>
  </si>
  <si>
    <t>Усольцов Андрей Петрович</t>
  </si>
  <si>
    <t>№ 836, 30 лет, хлебопашец</t>
  </si>
  <si>
    <t>Усольцов Андрей Сергеевич</t>
  </si>
  <si>
    <t>№ 696, 70 лет, хлебопашец, 1</t>
  </si>
  <si>
    <t>№ 832, 27 лет, хлебопашец</t>
  </si>
  <si>
    <t>Усольцов Василий Арсентьевич</t>
  </si>
  <si>
    <t>№ 254, -, хлебопашец</t>
  </si>
  <si>
    <t>Усольцов Василий Егорович</t>
  </si>
  <si>
    <t>№ 762, 18 лет, хлебопашец</t>
  </si>
  <si>
    <t>Усольцов Василий Петрович</t>
  </si>
  <si>
    <t>№ 837, 25 лет, хлебопашец</t>
  </si>
  <si>
    <t>Усольцов Гавриил Петрович</t>
  </si>
  <si>
    <t>№ 248, 46 лет, хлебопашец</t>
  </si>
  <si>
    <t>Усольцов Дмитрий Иванович</t>
  </si>
  <si>
    <t>№ 5, 36 лет, хлебопашец</t>
  </si>
  <si>
    <t>Усольцов Егор Петрович</t>
  </si>
  <si>
    <t>№ 761, 56 лет, хлебопашец</t>
  </si>
  <si>
    <t>Усольцов Иван Андреевич</t>
  </si>
  <si>
    <t>№ 697, 26 лет, хлебопашец</t>
  </si>
  <si>
    <t>Усольцов Иван Зотеевич</t>
  </si>
  <si>
    <t>№ 223, 57 лет, хлебопашец</t>
  </si>
  <si>
    <t>Усольцов Иван Иванович</t>
  </si>
  <si>
    <t>№ 62, 39 лет, хлебопашец</t>
  </si>
  <si>
    <t>Усольцов Иван Петрович</t>
  </si>
  <si>
    <t>№ 221, 47 лет, хлебопашец</t>
  </si>
  <si>
    <t>Усольцов Иван Тимофеевич</t>
  </si>
  <si>
    <t>№ 217, 50 лет, хлебопашец</t>
  </si>
  <si>
    <t>Усольцов Иван Тихонович</t>
  </si>
  <si>
    <t>№ 64, 60 лет, хлебопашец</t>
  </si>
  <si>
    <t>Усольцов Иван Федорович</t>
  </si>
  <si>
    <t>№ 649, 42 года, хлебопашец</t>
  </si>
  <si>
    <t>№ 303, 44 года, хлебопашец</t>
  </si>
  <si>
    <t>Усольцов Михаил Иванович</t>
  </si>
  <si>
    <t>№ 225, 26 лет, хлебопашец</t>
  </si>
  <si>
    <t>Усольцов Николай Иванович</t>
  </si>
  <si>
    <t>№ 65, 23 года, хлебопашец</t>
  </si>
  <si>
    <t>Усольцов Павел Васильевич</t>
  </si>
  <si>
    <t>№ 253, -, хлебопашец</t>
  </si>
  <si>
    <t>Усольцов Павел Петрович</t>
  </si>
  <si>
    <t>№ 748, 20 лет, хлебопашец</t>
  </si>
  <si>
    <t>Усольцов Петр Васильевич</t>
  </si>
  <si>
    <t>№ 835, 75 лет, хлебопашец</t>
  </si>
  <si>
    <t>Усольцов Петр Григорьевич</t>
  </si>
  <si>
    <t>№ 746, 46 лет, хлебопашец</t>
  </si>
  <si>
    <t>Усольцов Петр Михайлович</t>
  </si>
  <si>
    <t>№ 219, 51 год, хлебопашец</t>
  </si>
  <si>
    <t>Усольцов Прокопий Леонтьевич</t>
  </si>
  <si>
    <t>№ 243, 38 лет, хлебопашец</t>
  </si>
  <si>
    <t>Усольцов Семен Афонасьевич</t>
  </si>
  <si>
    <t>№ 853, 35 лет, хлебопашец</t>
  </si>
  <si>
    <t>Усольцов Семен Федорович</t>
  </si>
  <si>
    <t>№ 197, 44 года, хлебопашец</t>
  </si>
  <si>
    <t>Усольцов Сергей Михайлович</t>
  </si>
  <si>
    <t>№ 831, 48 лет, хлебопашец</t>
  </si>
  <si>
    <t>Усольцов Степан Васильевич</t>
  </si>
  <si>
    <t>№ 304, 42 года, хлебопашец</t>
  </si>
  <si>
    <t>Усольцов Тимофей Федорович</t>
  </si>
  <si>
    <t>№ 8, 37 лет, хлебопашец</t>
  </si>
  <si>
    <t>Усольцов Федор Александрович</t>
  </si>
  <si>
    <t>№ 846, 22 года, хлебопашец</t>
  </si>
  <si>
    <t>Усольцов Федор Иванович</t>
  </si>
  <si>
    <t>№ 68, 47 лет, хлебопашец</t>
  </si>
  <si>
    <t>№ 839, 29 лет, хлебопашец, 6</t>
  </si>
  <si>
    <t>Усольцов Яков Филиппович</t>
  </si>
  <si>
    <t>№ 505, 48 лет, хлебопашец</t>
  </si>
  <si>
    <t>Усольцова Аксинья Васильевна</t>
  </si>
  <si>
    <t>№ 244, 35 лет, хлебопашец</t>
  </si>
  <si>
    <t>Усольцова Александра Михайловна</t>
  </si>
  <si>
    <t>№ 840, 27 лет, хлебопашец</t>
  </si>
  <si>
    <t>Усольцова Анастасия Ивановна</t>
  </si>
  <si>
    <t>№ 733, 35 лет, хлебопашец</t>
  </si>
  <si>
    <t>Усольцова Анастасия Максимовна</t>
  </si>
  <si>
    <t>№ 833, 25 лет, хлебопашец</t>
  </si>
  <si>
    <t>Усольцова Анна Ивановна</t>
  </si>
  <si>
    <t>№ 198, 42 года, хлебопашец</t>
  </si>
  <si>
    <t>Усольцова Анна Петровна</t>
  </si>
  <si>
    <t>№ 9, 35 лет, хлебопашец</t>
  </si>
  <si>
    <t>Усольцова Анна Прокопьевна</t>
  </si>
  <si>
    <t>№ 67, 24 года, хлебопашец</t>
  </si>
  <si>
    <t>Усольцова Афонасья Александровна</t>
  </si>
  <si>
    <t>№ 222, 48 лет, хлебопашец</t>
  </si>
  <si>
    <t>Усольцова Варвара Яковлевна</t>
  </si>
  <si>
    <t>№ 245, 43 года, хлебопашец</t>
  </si>
  <si>
    <t>Усольцова Василиса Алек.</t>
  </si>
  <si>
    <t>№ 698, 26 лет, хлебопашец</t>
  </si>
  <si>
    <t>Усольцова Василиса Макаровна</t>
  </si>
  <si>
    <t>№ 218, 25 лет, хлебопашец</t>
  </si>
  <si>
    <t>Усольцова Дарья Арсентьевна</t>
  </si>
  <si>
    <t>№ 69, 46 лет, хлебопашец</t>
  </si>
  <si>
    <t>Усольцова Евгения Васильевна</t>
  </si>
  <si>
    <t>№ 747, 45 лет, хлебопашец</t>
  </si>
  <si>
    <t>Усольцова Евдокия Дмитриевна</t>
  </si>
  <si>
    <t>№ 780, -, хлебопашец</t>
  </si>
  <si>
    <t>Усольцова Елена Алексеевна</t>
  </si>
  <si>
    <t>№ 7, 42 года, хлебопашец</t>
  </si>
  <si>
    <t>Усольцова Ефросинья Матвеевна</t>
  </si>
  <si>
    <t>№ 226, 20 лет, хлебопашец</t>
  </si>
  <si>
    <t>Усольцова Ксения Ильинична</t>
  </si>
  <si>
    <t>№ 220, 48 лет, хлебопашец</t>
  </si>
  <si>
    <t>Усольцова Мария Васильевна</t>
  </si>
  <si>
    <t>№ 490, 24 года, хлебопашец</t>
  </si>
  <si>
    <t>Усольцова Мария Григорьевна</t>
  </si>
  <si>
    <t>№ 847, 24 года, хлебопашец</t>
  </si>
  <si>
    <t>Усольцова Мария Петровна</t>
  </si>
  <si>
    <t>№ 852, 59 лет, хлебопашец</t>
  </si>
  <si>
    <t>Усольцова Мария Яковлевна</t>
  </si>
  <si>
    <t>№ 508, 18 лет, хлебопашец</t>
  </si>
  <si>
    <t>Усольцова Матрена Николаевна</t>
  </si>
  <si>
    <t>№ 249, 43 года, хлебопашец</t>
  </si>
  <si>
    <t>Усольцова Нина Федоровна</t>
  </si>
  <si>
    <t>№ 506, 49 лет, хлебопашец</t>
  </si>
  <si>
    <t>Усольцова Парасковья Алекс.</t>
  </si>
  <si>
    <t>№ 6, 36 лет, хлебопашец</t>
  </si>
  <si>
    <t>Усольцова Парасковья Дмитриевна</t>
  </si>
  <si>
    <t>№ 63, 39 лет, хлебопашец</t>
  </si>
  <si>
    <t>Усольцова Парасковья Матвеевна</t>
  </si>
  <si>
    <t>№ 294, 35 лет, хлебопашец</t>
  </si>
  <si>
    <t>Усольцова Татьяна Васильевна</t>
  </si>
  <si>
    <t>№ 66, 22 года, хлебопашец</t>
  </si>
  <si>
    <t>Усольцова Устинья Николаевна</t>
  </si>
  <si>
    <t>№ 224, 57 лет, хлебопашец</t>
  </si>
  <si>
    <t>Усольцова Фекла Федоровна</t>
  </si>
  <si>
    <t>№ 33, 41 год, хлебопашец</t>
  </si>
  <si>
    <t>Уфимцев Андрей Михайлович</t>
  </si>
  <si>
    <t>№ 418, 20 лет, хлебопашец</t>
  </si>
  <si>
    <t>Уфимцев Василий Андреевич</t>
  </si>
  <si>
    <t>№ 480, 68 лет, хлебопашец</t>
  </si>
  <si>
    <t>Уфимцев Захар Григорьевич</t>
  </si>
  <si>
    <t>№ 678, 20 лет, хлебопашец</t>
  </si>
  <si>
    <t>Уфимцев Иван Михайлович</t>
  </si>
  <si>
    <t>№ 417, 25 лет, хлебопашец</t>
  </si>
  <si>
    <t>Уфимцев Иван Степанович</t>
  </si>
  <si>
    <t>№ 878, 33 года, хлебопашец</t>
  </si>
  <si>
    <t>Уфимцев Михаил Александрович</t>
  </si>
  <si>
    <t>№ 415, 47 лет, хлебопашец</t>
  </si>
  <si>
    <t>Уфимцева Анна Екимовна</t>
  </si>
  <si>
    <t>№ 481, 63 года, хлебопашец</t>
  </si>
  <si>
    <t>Уфимцева Апросинья Аф.</t>
  </si>
  <si>
    <t>№ 679, 19 лет, хлебопашец</t>
  </si>
  <si>
    <t>Уфимцева Афонасья Степановна</t>
  </si>
  <si>
    <t>№ 416, 45 лет, хлебопашец</t>
  </si>
  <si>
    <t>Уфимцева Ксения Петровна</t>
  </si>
  <si>
    <t>№ 482, 23 года, хлебопашец</t>
  </si>
  <si>
    <t>Федотов Михаил Павлович</t>
  </si>
  <si>
    <t>№ 671, 22 года, хлебопашец</t>
  </si>
  <si>
    <t>Хоробрых Евдокия Григорьевна</t>
  </si>
  <si>
    <t>№ 633, 33 года, акушерка, при Колчаке в ...? акушерка</t>
  </si>
  <si>
    <t>Чарский Николай Афанасьевич</t>
  </si>
  <si>
    <t>№ 635, 22 года, ученик агронома, служил в армии Колчака</t>
  </si>
  <si>
    <t>№ 459, 47 лет, хлебопашец</t>
  </si>
  <si>
    <t>Чесноков Павел Васильевич</t>
  </si>
  <si>
    <t>№ 728, 34 года, хлебопашец</t>
  </si>
  <si>
    <t>№ 31, 30 лет, хлебопашец</t>
  </si>
  <si>
    <t>№ 29, 65 года, хлебопашец</t>
  </si>
  <si>
    <t>№ 826, 25 лет, хлебопашец</t>
  </si>
  <si>
    <t>№ 787, 27 лет, хлебопашец</t>
  </si>
  <si>
    <t>№ 40, 42 года, хлебопашец</t>
  </si>
  <si>
    <t>№ 22, 60лет, хлебопашец</t>
  </si>
  <si>
    <t>№ 213, 62 года, хлебопашец</t>
  </si>
  <si>
    <t>№ 83, 20 лет, хлебопашец</t>
  </si>
  <si>
    <t>№ 704, 50 лет, хлебопашец</t>
  </si>
  <si>
    <t>№ 14, 26 лет, хлебопашец</t>
  </si>
  <si>
    <t>№ 27, 37 лет, хлебопашец</t>
  </si>
  <si>
    <t>№ 13, 63 года, хлебопашец</t>
  </si>
  <si>
    <t>№ 888, -, -</t>
  </si>
  <si>
    <t>№ 297, 22 года, хлебопашец</t>
  </si>
  <si>
    <t>№ 169, 47 лет, хлебопашец</t>
  </si>
  <si>
    <t>№ 654, 40 лет, хлебопашец, 10</t>
  </si>
  <si>
    <t>№ 825, 47 лет, хлебопашец</t>
  </si>
  <si>
    <t>№ 642, 60 лет, хлебопашец</t>
  </si>
  <si>
    <t>№ 256, 30 лет, хлебопашец, 20</t>
  </si>
  <si>
    <t>№ 46, 22 года, хлебопашец</t>
  </si>
  <si>
    <t>№ 785, 33 года, хлебопашец</t>
  </si>
  <si>
    <t>№ 161, 37 лет, хлебопашец</t>
  </si>
  <si>
    <t>№ 10, 35лет, хлебопашец</t>
  </si>
  <si>
    <t>№ 250, 57 лет, хлебопашец</t>
  </si>
  <si>
    <t>№ 295, 44 года, хлебопашец</t>
  </si>
  <si>
    <t>№ 24, 52 года, хлебопашец</t>
  </si>
  <si>
    <t>№ 783, -, хлебопашец</t>
  </si>
  <si>
    <t>№ 794, 25 лет, хлебопашец</t>
  </si>
  <si>
    <t>№ 23, 20 лет, хлебопашец</t>
  </si>
  <si>
    <t>№ 799, 60 лет, хлебопашец</t>
  </si>
  <si>
    <t>№ 72, 25 лет, хлебопашец</t>
  </si>
  <si>
    <t>№ 793, 49 лет, хлебопашец, 4</t>
  </si>
  <si>
    <t>№ 827, 20 лет, хлебопашец</t>
  </si>
  <si>
    <t>№ 170, 76 лет, хлебопашец</t>
  </si>
  <si>
    <t>№ 755, 19 лет, хлебопашец</t>
  </si>
  <si>
    <t>№ 692, 43 года, хлебопашец</t>
  </si>
  <si>
    <t>№ 784, 38 лет, хлебопашец</t>
  </si>
  <si>
    <t>№ 772, 33 года, хлебопашец</t>
  </si>
  <si>
    <t>№ 271, 24 года, хлебопашец</t>
  </si>
  <si>
    <t>№ 751, 46 лет, хлебопашец</t>
  </si>
  <si>
    <t>№ 17, 18 лет, хлебопашец</t>
  </si>
  <si>
    <t>№ 272, 18 лет, хлебопашец</t>
  </si>
  <si>
    <t>№ 468, 75 лет, хлебопашец</t>
  </si>
  <si>
    <t>№ 749, 25 лет, хлебопашец</t>
  </si>
  <si>
    <t>№ 792, 54 года, хлебопашец</t>
  </si>
  <si>
    <t>№ 167, 59 лет, хлебопашец</t>
  </si>
  <si>
    <t>№ 754, 39 лет, хлебопашец</t>
  </si>
  <si>
    <t>№ 115, 36 лет, хлебопашец</t>
  </si>
  <si>
    <t>№ 12, 45 лет, хлебопашец</t>
  </si>
  <si>
    <t>№ 693, 40 лет, хлебопашец</t>
  </si>
  <si>
    <t>№ 73, 26 лет, хлебопашец</t>
  </si>
  <si>
    <t>№ 171, 76 лет, хлебопашец</t>
  </si>
  <si>
    <t>№ 45, 48 лет, хлебопашец</t>
  </si>
  <si>
    <t>№ 81, 41 год, хлебопашец</t>
  </si>
  <si>
    <t>№ 214, 62 года, хлебопашец</t>
  </si>
  <si>
    <t>№ 298, 19 лет, хлебопашец</t>
  </si>
  <si>
    <t>№ 28, 30 лет, хлебопашец</t>
  </si>
  <si>
    <t>№ 30, 30 лет, хлебопашец</t>
  </si>
  <si>
    <t>№ 215, 27 лет, хлебопашец</t>
  </si>
  <si>
    <t>№ 15, 26 лет, хлебопашец</t>
  </si>
  <si>
    <t>№ 16, 21 год, хлебопашец</t>
  </si>
  <si>
    <t>№ 255, 55 лет, хлебопашец</t>
  </si>
  <si>
    <t>№ 296, 43 года, хлебопашец</t>
  </si>
  <si>
    <t>№ 216, 27 лет, хлебопашец</t>
  </si>
  <si>
    <t>№ 82, 52 года, хлебопашец</t>
  </si>
  <si>
    <t>№ 750, 18 лет, хлебопашец</t>
  </si>
  <si>
    <t>№ 26, 51 год, хлебопашец</t>
  </si>
  <si>
    <t>№ 41, 36 лет, хлебопашец</t>
  </si>
  <si>
    <t>№ 11, 35лет, хлебопашец</t>
  </si>
  <si>
    <t>№ 25, 45 лет, хлебопашец</t>
  </si>
  <si>
    <t>№ 168, 58 лет, хлебопашец</t>
  </si>
  <si>
    <t>№ 655, 40 лет, хлебопашец</t>
  </si>
  <si>
    <t>№ 251, 56 лет, хлебопашец</t>
  </si>
  <si>
    <t>№ 771, 48 лет, хлебопашец</t>
  </si>
  <si>
    <t>№ 257, 19 лет, хлебопашец</t>
  </si>
  <si>
    <t>№ 162, 37 лет, хлебопашец</t>
  </si>
  <si>
    <t>№ 773, 35 лет, хлебопашец</t>
  </si>
  <si>
    <t>№ 32, 35 лет, хлебопашец</t>
  </si>
  <si>
    <t>Шашков Александр Степанович</t>
  </si>
  <si>
    <t>№ 210, 28 лет, хлебопашец</t>
  </si>
  <si>
    <t>Шашков Алексей Иванович</t>
  </si>
  <si>
    <t>№ 619, 52 года, ?</t>
  </si>
  <si>
    <t>Шашков Ефим Алексеевич</t>
  </si>
  <si>
    <t>№ 645, 29 лет, хлебопашец, при Колчаке был в плену в Германии</t>
  </si>
  <si>
    <t>Шашков Иван Иванович</t>
  </si>
  <si>
    <t>№ 122, 43 года, хлебопашец</t>
  </si>
  <si>
    <t>Шашков Степан Иванович</t>
  </si>
  <si>
    <t>№ 209, 62 года, хлебопашец</t>
  </si>
  <si>
    <t>Шашкова Крестина Сергеевна</t>
  </si>
  <si>
    <t>№ 620, 42 года,?</t>
  </si>
  <si>
    <t>Шашкова Настасья Егоровна</t>
  </si>
  <si>
    <t>№ 123, 47 лет, хлебопашец</t>
  </si>
  <si>
    <t>Шермин Алексей</t>
  </si>
  <si>
    <t>№ 312, 19 лет, хлебопашец</t>
  </si>
  <si>
    <t>№ 126, 46 лет, хлебопашец, не имеет (?)</t>
  </si>
  <si>
    <t>Шермин Гавриил Васильевич</t>
  </si>
  <si>
    <t>№ 176, 26 лет, хлебопашец</t>
  </si>
  <si>
    <t>Шермин Иван Захарович</t>
  </si>
  <si>
    <t>№ 96, 38 лет, хлебопашец</t>
  </si>
  <si>
    <t>Шермин Николай Яковлевич</t>
  </si>
  <si>
    <t>№ 38, 50 лет, хлебопашец</t>
  </si>
  <si>
    <t>Шермин (Осип Кузьмич)</t>
  </si>
  <si>
    <t>№ 287, 43 года, хлебопашец</t>
  </si>
  <si>
    <t>Шермина Варвара Яковлевна</t>
  </si>
  <si>
    <t>№ 39, 42 года, хлебопашец</t>
  </si>
  <si>
    <t>Шермина Елена</t>
  </si>
  <si>
    <t>№ 97, 39 лет, хлебопашец</t>
  </si>
  <si>
    <t>Шермина Мария Яковлевна</t>
  </si>
  <si>
    <t>№ 177, 50 лет, хлебопашец</t>
  </si>
  <si>
    <t>№ 155, 52 года, хлебопашец</t>
  </si>
  <si>
    <t>№ 199, 49 лет, хлебопашец</t>
  </si>
  <si>
    <t>№ 584, 55 лет, хлебопашец</t>
  </si>
  <si>
    <t>№ 669, 25 лет, хлебопашец</t>
  </si>
  <si>
    <t>№ 660, 47 лет, хлебопашец</t>
  </si>
  <si>
    <t>№ 174, 51 год, хлебопашец</t>
  </si>
  <si>
    <t>№ 469, 40 лет, хлебопашец</t>
  </si>
  <si>
    <t>№ 462, 24 года, хлебопашец</t>
  </si>
  <si>
    <t>№ 78, 50 лет, хлебопашец</t>
  </si>
  <si>
    <t>№ 201, 47 лет, хлебопашец</t>
  </si>
  <si>
    <t>№ 694, 26 лет, хлебопашец</t>
  </si>
  <si>
    <t>№ 680, 20 лет, хлебопашец</t>
  </si>
  <si>
    <t>№ 554, 30 лет, хлебопашец</t>
  </si>
  <si>
    <t>№ 673, 34 года, хлебопашец</t>
  </si>
  <si>
    <t>№ 205, 29 лет, хлебопашец</t>
  </si>
  <si>
    <t>№ 719, 19 лет, хлебопашец</t>
  </si>
  <si>
    <t>№ 661, 25 лет, хлебопашец</t>
  </si>
  <si>
    <t>№ 688, -, хлебопашец</t>
  </si>
  <si>
    <t>№ 471, 56 лет, хлебопашец</t>
  </si>
  <si>
    <t>№ 466, 43 года, хлебопашец</t>
  </si>
  <si>
    <t>№ 116, 45 лет, хлебопашец</t>
  </si>
  <si>
    <t>№ 656, 29 лет, хлебопашец</t>
  </si>
  <si>
    <t>№ 658, 41 год, хлебопашец</t>
  </si>
  <si>
    <t>№ 188, 40 лет, хлебопашец</t>
  </si>
  <si>
    <t>№ 464, 28 лет, хлебопашец</t>
  </si>
  <si>
    <t>№ 718, 45 лет, хлебопашец</t>
  </si>
  <si>
    <t>№ 440, 56 лет, хлебопашец</t>
  </si>
  <si>
    <t>№ 157, 39 лет, хлебопашец, искл.</t>
  </si>
  <si>
    <t>№ 659, 40 лет, хлебопашец</t>
  </si>
  <si>
    <t>№ 689, 35 лет, хлебопашец</t>
  </si>
  <si>
    <t>№ 686, 42 года, хлебопашец</t>
  </si>
  <si>
    <t>№ 674, 24 года, хлебопашец</t>
  </si>
  <si>
    <t>№ 470, 37 лет, хлебопашец</t>
  </si>
  <si>
    <t>№ 158, 39 лет, хлебопашец</t>
  </si>
  <si>
    <t>№ 80, 60 лет, хлебопашец</t>
  </si>
  <si>
    <t>№ 204, 25 лет, хлебопашец</t>
  </si>
  <si>
    <t>№ 156, 50 лет, хлебопашец</t>
  </si>
  <si>
    <t>№ 662, 22 года, хлебопашец</t>
  </si>
  <si>
    <t>№ 668, 41 год, хлебопашец</t>
  </si>
  <si>
    <t>№ 670, 26 лет, хлебопашец</t>
  </si>
  <si>
    <t>№ 657, 28 лет, хлебопашец</t>
  </si>
  <si>
    <t>№ 79, 38 лет, хлебопашец</t>
  </si>
  <si>
    <t>№ 189, 40 лет, хлебопашец</t>
  </si>
  <si>
    <t>№ 695, 22 года, хлебопашец</t>
  </si>
  <si>
    <t>№ 681, 20 лет, хлебопашец</t>
  </si>
  <si>
    <t>№ 175, 51 год, хлебопашец</t>
  </si>
  <si>
    <t>№ 467, 41 год, хлебопашец</t>
  </si>
  <si>
    <t>№ 200, 45 лет, хлебопашец</t>
  </si>
  <si>
    <t>№ 202, 41 год, хлебопашец</t>
  </si>
  <si>
    <t>№ 463, 30 лет, хлебопашец</t>
  </si>
  <si>
    <t>Шехарева Пелагея Федоровна</t>
  </si>
  <si>
    <t>№ 436, 45 лет, хлебопашец</t>
  </si>
  <si>
    <t>Шилов Александр Павлович</t>
  </si>
  <si>
    <t>№ 90, 18 лет, хлебопашец</t>
  </si>
  <si>
    <t>Шилов Михаил Павлович</t>
  </si>
  <si>
    <t>№ 89, 22 года, учитель, при Колчаке служил по моб.</t>
  </si>
  <si>
    <t>Шилов Павел Дмитриевич</t>
  </si>
  <si>
    <t>№ 88, 50 лет, хлебопашец</t>
  </si>
  <si>
    <t>Шилова Ирина Ивановна</t>
  </si>
  <si>
    <t>№ 91, 48 лет, хлебопашец</t>
  </si>
  <si>
    <t>Югов Георгий Архипович</t>
  </si>
  <si>
    <t>№ 651, 25 лет, сапожник, при Колчаке работал сапожником</t>
  </si>
  <si>
    <t>№ 457, 62 года, хлебопашец</t>
  </si>
  <si>
    <t>Ярушова Афонасья</t>
  </si>
  <si>
    <t>№ 458, 42 года, хлебопашец</t>
  </si>
  <si>
    <t>Собокин (Собакин) Александр Петров(ич) или Собакина Александра Петровна</t>
  </si>
  <si>
    <t>Стариков Иван Федорович</t>
  </si>
  <si>
    <t>Спицына Ольга Михайловна</t>
  </si>
  <si>
    <t>022а 000</t>
  </si>
  <si>
    <t>К приходу села Бродокалмацкаго принадлежит 8 деревень:</t>
  </si>
  <si>
    <t>Заманишенская в 2 в. </t>
  </si>
  <si>
    <t>Осолодская в 7 в. </t>
  </si>
  <si>
    <t>Карпинская в 12 в. </t>
  </si>
  <si>
    <t>Тирикульская в 7 в. </t>
  </si>
  <si>
    <t>Каткульская в 10 в. </t>
  </si>
  <si>
    <t>Бухонинская в 6 вер. </t>
  </si>
  <si>
    <t>Девятовская в 13 вер.  </t>
  </si>
  <si>
    <t>Ветродуйская в 5 вер. </t>
  </si>
  <si>
    <t>Карпинская дер.</t>
  </si>
  <si>
    <t>Осолодская дер.</t>
  </si>
  <si>
    <t>Возраст на 1922</t>
  </si>
  <si>
    <t>Год рождения расчетный</t>
  </si>
  <si>
    <t>Формулы в след. строке</t>
  </si>
  <si>
    <t>-,</t>
  </si>
  <si>
    <t>поиск фамилии</t>
  </si>
  <si>
    <t>Свинин Георгий Иванович</t>
  </si>
  <si>
    <t>Бродокалмак</t>
  </si>
  <si>
    <t>Свинина Варвара Сергеевна</t>
  </si>
  <si>
    <t>024а 000</t>
  </si>
  <si>
    <t>Тирикульская дер.</t>
  </si>
  <si>
    <t>Пирогова Наталья Никифоровна</t>
  </si>
  <si>
    <t>026а 000</t>
  </si>
  <si>
    <t>Синицына Антонина Васильевна</t>
  </si>
  <si>
    <t>Синицын Василий Андреевич</t>
  </si>
  <si>
    <t>Пирогова Анна Матфеевна</t>
  </si>
  <si>
    <t>028 июна 001</t>
  </si>
  <si>
    <t>брат отца ребенка</t>
  </si>
  <si>
    <t>запасной рядовой</t>
  </si>
  <si>
    <t>Макаров Фома Павлович</t>
  </si>
  <si>
    <t>комментарий (Кр.мать)</t>
  </si>
  <si>
    <t>комментарий (Кр.отец)</t>
  </si>
  <si>
    <t>Усольцева Елисавета Петровна</t>
  </si>
  <si>
    <t>солдатская жена</t>
  </si>
  <si>
    <t>жена Дмитрия Сельницына</t>
  </si>
  <si>
    <t>Сельницына Татьяна</t>
  </si>
  <si>
    <t>031а 000</t>
  </si>
  <si>
    <t>комментарий (отец)</t>
  </si>
  <si>
    <t>рядовой</t>
  </si>
  <si>
    <t>Челябинского ?</t>
  </si>
  <si>
    <t>Ольга</t>
  </si>
  <si>
    <t>дочь Шилова Дмитрия Е?</t>
  </si>
  <si>
    <t>состоит на военной службе</t>
  </si>
  <si>
    <t>отставной унтер ?</t>
  </si>
  <si>
    <t>Шилова Анна Ивановна</t>
  </si>
  <si>
    <t>челябинская солдатская жена</t>
  </si>
  <si>
    <t>Малькова Александра Георгиевна</t>
  </si>
  <si>
    <t>дочь родителя младенца</t>
  </si>
  <si>
    <t>1876/1877</t>
  </si>
  <si>
    <t>1851/1852</t>
  </si>
  <si>
    <t>1899/1900</t>
  </si>
  <si>
    <t>1885/1886</t>
  </si>
  <si>
    <t>1867/1868</t>
  </si>
  <si>
    <t>1877/1878</t>
  </si>
  <si>
    <t>1889/1890</t>
  </si>
  <si>
    <t>1903/1904</t>
  </si>
  <si>
    <t>1873/1874</t>
  </si>
  <si>
    <t>1855/1856</t>
  </si>
  <si>
    <t>1890/1891</t>
  </si>
  <si>
    <t>1901/1902</t>
  </si>
  <si>
    <t>1921/1922</t>
  </si>
  <si>
    <t>1902/1903</t>
  </si>
  <si>
    <t>1861/1862</t>
  </si>
  <si>
    <t>1891/1892</t>
  </si>
  <si>
    <t>1879/1880</t>
  </si>
  <si>
    <t>1893/1894</t>
  </si>
  <si>
    <t>1883/1884</t>
  </si>
  <si>
    <t>1881/1882</t>
  </si>
  <si>
    <t>1871/1872</t>
  </si>
  <si>
    <t>1886/1887</t>
  </si>
  <si>
    <t>1866/1867</t>
  </si>
  <si>
    <t>1872/1873</t>
  </si>
  <si>
    <t>1878/1879</t>
  </si>
  <si>
    <t>1874/1875</t>
  </si>
  <si>
    <t>1887/1888</t>
  </si>
  <si>
    <t>1895/1896</t>
  </si>
  <si>
    <t>1864/1865</t>
  </si>
  <si>
    <t>1869/1870</t>
  </si>
  <si>
    <t>1888/1889</t>
  </si>
  <si>
    <t>1842/1843</t>
  </si>
  <si>
    <t>1845/1846</t>
  </si>
  <si>
    <t>1892/1893</t>
  </si>
  <si>
    <t>1875/1876</t>
  </si>
  <si>
    <t>1859/1860</t>
  </si>
  <si>
    <t>1897/1898</t>
  </si>
  <si>
    <t>1884/1885</t>
  </si>
  <si>
    <t>1870/1871</t>
  </si>
  <si>
    <t>1894/1895</t>
  </si>
  <si>
    <t>1858/1859</t>
  </si>
  <si>
    <t>1857/1858</t>
  </si>
  <si>
    <t>1865/1866</t>
  </si>
  <si>
    <t>1896/1897</t>
  </si>
  <si>
    <t>1856/1857</t>
  </si>
  <si>
    <t>1882/1883</t>
  </si>
  <si>
    <t>1900/1901</t>
  </si>
  <si>
    <t>1880/1881</t>
  </si>
  <si>
    <t>1863/1864</t>
  </si>
  <si>
    <t>1849/1850</t>
  </si>
  <si>
    <t>1898/1899</t>
  </si>
  <si>
    <t>1860/1861</t>
  </si>
  <si>
    <t>1846/1847</t>
  </si>
  <si>
    <t>1868/1869</t>
  </si>
  <si>
    <t>1841/1842</t>
  </si>
  <si>
    <t>1831/1832</t>
  </si>
  <si>
    <t>1844/1845</t>
  </si>
  <si>
    <t>1862/1863</t>
  </si>
  <si>
    <t>1853/1854</t>
  </si>
  <si>
    <t>Стефанида Петровна</t>
  </si>
  <si>
    <t>Окунева Мария Павловна</t>
  </si>
  <si>
    <t>Окунева Ксения Павловна</t>
  </si>
  <si>
    <t>Сырвачева Мария Алеексеевна</t>
  </si>
  <si>
    <t>036а 000</t>
  </si>
  <si>
    <t>Каткульская дер.</t>
  </si>
  <si>
    <t>Стариков Андрей Андрианович</t>
  </si>
  <si>
    <t>Чекалина Мария Леонидовна</t>
  </si>
  <si>
    <t>вдова</t>
  </si>
  <si>
    <t>037авга 001</t>
  </si>
  <si>
    <t>Шилова Анна Алексеевна</t>
  </si>
  <si>
    <t>Вешкурцев Василий Михайлович</t>
  </si>
  <si>
    <t>Отставной рядовой, есть совпадение со списком избирателей №875</t>
  </si>
  <si>
    <t>Кузнецов Павел Иванович</t>
  </si>
  <si>
    <t>Лебедев Василий Иванович</t>
  </si>
  <si>
    <t>Пашнин Алексей Федорович</t>
  </si>
  <si>
    <t>Канонир ? крепостной артиллерии</t>
  </si>
  <si>
    <t xml:space="preserve">Канонир той же артиллерии </t>
  </si>
  <si>
    <t>Шушпанов Василий Семенович</t>
  </si>
  <si>
    <t>Туркенестанский кафедральный собор</t>
  </si>
  <si>
    <t xml:space="preserve">Дети родителю младенца </t>
  </si>
  <si>
    <t>Ларионовна Ирина Георгиевна</t>
  </si>
  <si>
    <t>Окунев Георгий Федорович</t>
  </si>
  <si>
    <t>младший</t>
  </si>
  <si>
    <t>01/03/1882</t>
  </si>
  <si>
    <t>Лебедев Иван Егорович</t>
  </si>
  <si>
    <t>Пашнин Федор Евдокимович</t>
  </si>
  <si>
    <t>Ларионов Георгий Михайлович</t>
  </si>
  <si>
    <t>Ярушев Илья Артемьевич</t>
  </si>
  <si>
    <t>Окунев Федор Трофимович</t>
  </si>
  <si>
    <t>Комин Илья Иванович</t>
  </si>
  <si>
    <t>042a 000</t>
  </si>
  <si>
    <t>жена рядового</t>
  </si>
  <si>
    <t>042а 001</t>
  </si>
  <si>
    <t>сын отца младенца</t>
  </si>
  <si>
    <t>043а 000</t>
  </si>
  <si>
    <t>мертворожденный муж пола</t>
  </si>
  <si>
    <t>г. Долматов</t>
  </si>
  <si>
    <t>Прусов Александр Терентьевич</t>
  </si>
  <si>
    <t>игаумин?</t>
  </si>
  <si>
    <t>Иван? Волость</t>
  </si>
  <si>
    <t>Нестерова А? А?</t>
  </si>
  <si>
    <t>строка 22?</t>
  </si>
  <si>
    <t>Парн? дер.</t>
  </si>
  <si>
    <t>Ма? Екатерина ?</t>
  </si>
  <si>
    <t>043а 001</t>
  </si>
  <si>
    <t>Заманишенская д.</t>
  </si>
  <si>
    <t>Бабина Прасковья Ивановна</t>
  </si>
  <si>
    <t>045а 001</t>
  </si>
  <si>
    <t>048а 001</t>
  </si>
  <si>
    <t>Щелканогова Афанасия Леонидовна</t>
  </si>
  <si>
    <t>Щелканогов Леонид Васильевич</t>
  </si>
  <si>
    <t>Щелканогова Евдокия Сергеевна</t>
  </si>
  <si>
    <t>052а 000</t>
  </si>
  <si>
    <t>Василий Севостьянов</t>
  </si>
  <si>
    <t>Илья</t>
  </si>
  <si>
    <t>Ирина Васильевна</t>
  </si>
  <si>
    <t>Ирина Трифовна</t>
  </si>
  <si>
    <t>Мария Федоровна</t>
  </si>
  <si>
    <t>Неизвестно ...</t>
  </si>
  <si>
    <t>Окунев Андрей Никитич</t>
  </si>
  <si>
    <t>Окунев Гаврило Яковлевич</t>
  </si>
  <si>
    <t>Окунев Михаил Никитич</t>
  </si>
  <si>
    <t>Окунев Никита Филлипович</t>
  </si>
  <si>
    <t>Окунев Памфил Гаврилович</t>
  </si>
  <si>
    <t>Окунев Петр Никитич</t>
  </si>
  <si>
    <t>Окунев Прокопий</t>
  </si>
  <si>
    <t>Окунев Федор Прокопьевич</t>
  </si>
  <si>
    <t>Окунев Филипп Памфилович</t>
  </si>
  <si>
    <t>Окунев Яков Никитич</t>
  </si>
  <si>
    <t>Окунев Яков Федорович</t>
  </si>
  <si>
    <t>Окунева (Шилова) Ольга Дмитриевна</t>
  </si>
  <si>
    <t>Отец неизвестен Незаконнорожденная</t>
  </si>
  <si>
    <t>Отец неизвестен незаконоорожденная</t>
  </si>
  <si>
    <t>Пелагея</t>
  </si>
  <si>
    <t>Прасковья Андреяновна</t>
  </si>
  <si>
    <t>Прасковья Сергеевна</t>
  </si>
  <si>
    <t>Татиана Трифовна</t>
  </si>
  <si>
    <t>Татьяна Лукинична</t>
  </si>
  <si>
    <t>Шилов Дмитрий Емельянович</t>
  </si>
  <si>
    <t>Из древа</t>
  </si>
  <si>
    <t>Окунева Елизавета Никитична</t>
  </si>
  <si>
    <t>Макарова Елизавета Петровна</t>
  </si>
  <si>
    <t xml:space="preserve">Макаров Петр ? </t>
  </si>
  <si>
    <t>Макарова Татьяна Петровна</t>
  </si>
  <si>
    <t>053а 000</t>
  </si>
  <si>
    <t>Иулитта ?</t>
  </si>
  <si>
    <t>054а 001</t>
  </si>
  <si>
    <t>Новокрещенов Михаил Иванович</t>
  </si>
  <si>
    <t>Новокрещенов Александр Михайлович</t>
  </si>
  <si>
    <t>Новокрещенова Мария Дмитриевна</t>
  </si>
  <si>
    <t>Новокрещенова Евдокия Васильевна</t>
  </si>
  <si>
    <t>Усольцева Ирина Ивановна</t>
  </si>
  <si>
    <t>057а 002</t>
  </si>
  <si>
    <t>058а 001</t>
  </si>
  <si>
    <t>Прасковья Митровановна</t>
  </si>
  <si>
    <t>060а 001</t>
  </si>
  <si>
    <t>Щелконогов Леонид Васильевич</t>
  </si>
  <si>
    <t>061а 001</t>
  </si>
  <si>
    <t>065а 000</t>
  </si>
  <si>
    <t>Пирогова Анна Михайловна</t>
  </si>
  <si>
    <t>065а 001</t>
  </si>
  <si>
    <t>3 мес</t>
  </si>
  <si>
    <t>от коклюша</t>
  </si>
  <si>
    <t>комментарий</t>
  </si>
  <si>
    <t>родственник</t>
  </si>
  <si>
    <t>сын</t>
  </si>
  <si>
    <t>100а</t>
  </si>
  <si>
    <t>от поноса</t>
  </si>
  <si>
    <t>дата смерти примерно</t>
  </si>
  <si>
    <t>4 мес</t>
  </si>
  <si>
    <t>нет</t>
  </si>
  <si>
    <t>102а</t>
  </si>
  <si>
    <t>104 мара</t>
  </si>
  <si>
    <t>от чахотки</t>
  </si>
  <si>
    <t>жена</t>
  </si>
  <si>
    <t>107 апр 001</t>
  </si>
  <si>
    <t>2 нед.</t>
  </si>
  <si>
    <t>дочь</t>
  </si>
  <si>
    <t>неоп. Умерла 28/04/1905</t>
  </si>
  <si>
    <t>Неоп. - может быть братом Василия</t>
  </si>
  <si>
    <t>111а 000</t>
  </si>
  <si>
    <t>от кори</t>
  </si>
  <si>
    <t>дочь рядового</t>
  </si>
  <si>
    <t>7 мес</t>
  </si>
  <si>
    <t>112 майа 001</t>
  </si>
  <si>
    <t>Поиск</t>
  </si>
  <si>
    <t>113а 001</t>
  </si>
  <si>
    <t>114а 000</t>
  </si>
  <si>
    <t>114а 001</t>
  </si>
  <si>
    <t>2 мес</t>
  </si>
  <si>
    <t>120а 001</t>
  </si>
  <si>
    <t>неоп. Умер 20/07/1905</t>
  </si>
  <si>
    <t>120а 002</t>
  </si>
  <si>
    <t>неоп. ум. 31/07/1905</t>
  </si>
  <si>
    <t>1 мес</t>
  </si>
  <si>
    <t>дочь рядового состоящего на службе</t>
  </si>
  <si>
    <t>от скарлатины</t>
  </si>
  <si>
    <t>сын вдовы</t>
  </si>
  <si>
    <t>124а 001</t>
  </si>
  <si>
    <t>125а 000</t>
  </si>
  <si>
    <t>129а 000</t>
  </si>
  <si>
    <t>5 мес</t>
  </si>
  <si>
    <t>внебрачный сын</t>
  </si>
  <si>
    <t>132 окт 000</t>
  </si>
  <si>
    <t>неоп. ум. 29/09/1905</t>
  </si>
  <si>
    <t xml:space="preserve">жена (брата родителя Сергея) </t>
  </si>
  <si>
    <t>133а 000</t>
  </si>
  <si>
    <t>135а 000</t>
  </si>
  <si>
    <t>Севостьянова Анастасия Федоровна</t>
  </si>
  <si>
    <t>Кузнецова Аклимина Даниловна</t>
  </si>
  <si>
    <t>Окунев Семен Трофимович</t>
  </si>
  <si>
    <t>Шилова Матрона Марк?</t>
  </si>
  <si>
    <t>Шилов Николай Алексеевич</t>
  </si>
  <si>
    <t>Решетников Порфирий Александрович</t>
  </si>
  <si>
    <t>Лебедева Анастасия Петровна</t>
  </si>
  <si>
    <t>Пашнина Саламония Филипповна</t>
  </si>
  <si>
    <t>Ярушева Александра Михайловна</t>
  </si>
  <si>
    <t>Окунева Пелагея Дмитриевна</t>
  </si>
  <si>
    <t>Комина Акимена Ра*</t>
  </si>
  <si>
    <t>Синицына Елизавета Ивановна</t>
  </si>
  <si>
    <t>Да</t>
  </si>
  <si>
    <t>комменарий</t>
  </si>
  <si>
    <t>Мать вдова, солдатсткая жена. Олимпиада - незаконнорожденная</t>
  </si>
  <si>
    <t>Свидетель жениха 1</t>
  </si>
  <si>
    <t>Свидетель жениха 2</t>
  </si>
  <si>
    <t>Свидетель невесты 1</t>
  </si>
  <si>
    <t>Свидетель невесты 2</t>
  </si>
  <si>
    <t>св. жен 2 - Ефрейтор в запасе</t>
  </si>
  <si>
    <t>081а 004/005</t>
  </si>
  <si>
    <t>26.01.1879</t>
  </si>
  <si>
    <t>Софонов Петр Иванович</t>
  </si>
  <si>
    <t>Шашков Петр Иванович</t>
  </si>
  <si>
    <t>Симбирской губернии</t>
  </si>
  <si>
    <t>Шашкова Анастасия Георгиевна</t>
  </si>
  <si>
    <t>Шашков Евфимий Иванович</t>
  </si>
  <si>
    <t>отцу младенца брат</t>
  </si>
  <si>
    <t xml:space="preserve">Отец - умерший рядовой </t>
  </si>
  <si>
    <t>Уфимцев Андрей</t>
  </si>
  <si>
    <t>Уфимцев Павел Игнатьевич</t>
  </si>
  <si>
    <t>Уфимцев ? Игнатьевич</t>
  </si>
  <si>
    <t>совпадение со списком избирателей 376</t>
  </si>
  <si>
    <t>Комин Прокопий Ильич</t>
  </si>
  <si>
    <t>Расч-ный год рождения</t>
  </si>
  <si>
    <t>№ брака2</t>
  </si>
  <si>
    <t>Проверено в МК по году рождения4</t>
  </si>
  <si>
    <t>Расчитанный год (приблизительно)2</t>
  </si>
  <si>
    <r>
      <rPr>
        <strike/>
        <sz val="11"/>
        <color theme="1"/>
        <rFont val="Calibri"/>
        <family val="2"/>
        <charset val="204"/>
        <scheme val="minor"/>
      </rPr>
      <t>Зачернутый</t>
    </r>
    <r>
      <rPr>
        <sz val="11"/>
        <color theme="1"/>
        <rFont val="Calibri"/>
        <family val="2"/>
        <scheme val="minor"/>
      </rPr>
      <t xml:space="preserve"> - умершие в детском возрасте, их линия обрывается</t>
    </r>
  </si>
  <si>
    <t>Метрические книги</t>
  </si>
  <si>
    <t>Брак</t>
  </si>
  <si>
    <t>Полностья</t>
  </si>
  <si>
    <t>Заметки</t>
  </si>
  <si>
    <t>Полностью</t>
  </si>
  <si>
    <t/>
  </si>
  <si>
    <t>Уляшева Анастасия Алексеевна</t>
  </si>
  <si>
    <t>(Без фамилии) Афонасий Иванович</t>
  </si>
  <si>
    <t>№ в переписи 1858 года: 162</t>
  </si>
  <si>
    <t>с. 148</t>
  </si>
  <si>
    <t>№ в переписи 1850 года: нет</t>
  </si>
  <si>
    <t>Бабин Герасим Меркульевич</t>
  </si>
  <si>
    <t>№ в переписи 1858 года: 36</t>
  </si>
  <si>
    <t>с. 40</t>
  </si>
  <si>
    <t>№ в переписи 1850 года: 44</t>
  </si>
  <si>
    <t>Бабин Савва Федорович</t>
  </si>
  <si>
    <t>№ в переписи 1858 года: 114</t>
  </si>
  <si>
    <t>с. 110</t>
  </si>
  <si>
    <t>№ в переписи 1850 года: 130</t>
  </si>
  <si>
    <t>Бабин Платон Евдокимович</t>
  </si>
  <si>
    <t>№ в переписи 1858 года: 115</t>
  </si>
  <si>
    <t>№ в переписи 1850 года: 131</t>
  </si>
  <si>
    <t>Бабин Филип Алексеевич</t>
  </si>
  <si>
    <t>№ в переписи 1858 года: 116</t>
  </si>
  <si>
    <t>с. 112</t>
  </si>
  <si>
    <t>№ в переписи 1850 года: 132</t>
  </si>
  <si>
    <t>№ в переписи 1858 года: 117</t>
  </si>
  <si>
    <t>№ в переписи 1850 года: 133</t>
  </si>
  <si>
    <t>№ в переписи 1858 года: 55</t>
  </si>
  <si>
    <t>с. 58</t>
  </si>
  <si>
    <t>№ в переписи 1850 года: 64</t>
  </si>
  <si>
    <t>№ в переписи 1858 года: 56</t>
  </si>
  <si>
    <t>с. 58, 60</t>
  </si>
  <si>
    <t>№ в переписи 1850 года: 65</t>
  </si>
  <si>
    <t>№ в переписи 1858 года: 57</t>
  </si>
  <si>
    <t>с. 60</t>
  </si>
  <si>
    <t>№ в переписи 1850 года: 66</t>
  </si>
  <si>
    <t>№ в переписи 1858 года: 58</t>
  </si>
  <si>
    <t>№ в переписи 1850 года: 67</t>
  </si>
  <si>
    <t>№ в переписи 1858 года: 59</t>
  </si>
  <si>
    <t>с. 62</t>
  </si>
  <si>
    <t>№ в переписи 1850 года: 68</t>
  </si>
  <si>
    <t>№ в переписи 1858 года: 60</t>
  </si>
  <si>
    <t>№ в переписи 1850 года: 69</t>
  </si>
  <si>
    <t>№ в переписи 1858 года: 61</t>
  </si>
  <si>
    <t>с. 62, 64</t>
  </si>
  <si>
    <t>№ в переписи 1850 года: 70</t>
  </si>
  <si>
    <t>№ в переписи 1858 года: 62</t>
  </si>
  <si>
    <t>с. 64, 66</t>
  </si>
  <si>
    <t>№ в переписи 1850 года: 71</t>
  </si>
  <si>
    <t>№ в переписи 1858 года: 159</t>
  </si>
  <si>
    <t>с. 144</t>
  </si>
  <si>
    <t>№ в переписи 1850 года: 181</t>
  </si>
  <si>
    <t>№ в переписи 1858 года: 164</t>
  </si>
  <si>
    <t>№ в переписи 1858 года: 45</t>
  </si>
  <si>
    <t>с. 48</t>
  </si>
  <si>
    <t>№ в переписи 1850 года: 54</t>
  </si>
  <si>
    <t>№ в переписи 1858 года: 46</t>
  </si>
  <si>
    <t>с. 48, 50</t>
  </si>
  <si>
    <t>№ в переписи 1850 года: 55</t>
  </si>
  <si>
    <t>№ в переписи 1858 года: 47</t>
  </si>
  <si>
    <t>с. 50</t>
  </si>
  <si>
    <t>№ в переписи 1850 года: 56</t>
  </si>
  <si>
    <t>№ в переписи 1858 года: 48</t>
  </si>
  <si>
    <t>№ в переписи 1850 года: 57</t>
  </si>
  <si>
    <t>№ в переписи 1858 года: 49</t>
  </si>
  <si>
    <t>с. 52</t>
  </si>
  <si>
    <t>№ в переписи 1850 года: 58</t>
  </si>
  <si>
    <t>№ в переписи 1858 года: 50</t>
  </si>
  <si>
    <t>№ в переписи 1858 года: 51</t>
  </si>
  <si>
    <t>с. 54</t>
  </si>
  <si>
    <t>№ в переписи 1850 года: 60</t>
  </si>
  <si>
    <t>№ в переписи 1858 года: 52</t>
  </si>
  <si>
    <t>с. 54, 56</t>
  </si>
  <si>
    <t>№ в переписи 1850 года: 61</t>
  </si>
  <si>
    <t>№ в переписи 1858 года: 53</t>
  </si>
  <si>
    <t>с. 56</t>
  </si>
  <si>
    <t>№ в переписи 1850 года: 62</t>
  </si>
  <si>
    <t>№ в переписи 1858 года: 467</t>
  </si>
  <si>
    <t>с. 494</t>
  </si>
  <si>
    <t>№ в переписи 1858 года: 471</t>
  </si>
  <si>
    <t>с. 496</t>
  </si>
  <si>
    <t>Блинов Трофим Лаврентьевич</t>
  </si>
  <si>
    <t>№ в переписи 1858 года: 38</t>
  </si>
  <si>
    <t>№ в переписи 1850 года: 46</t>
  </si>
  <si>
    <t>Блинов Григорий Никитич</t>
  </si>
  <si>
    <t>№ в переписи 1858 года: 39</t>
  </si>
  <si>
    <t>с. 42</t>
  </si>
  <si>
    <t>№ в переписи 1850 года: 47</t>
  </si>
  <si>
    <t>Блинов Николай Осипович</t>
  </si>
  <si>
    <t>№ в переписи 1858 года: 40</t>
  </si>
  <si>
    <t>№ в переписи 1850 года: 48</t>
  </si>
  <si>
    <t>Блинов Сергей Федорович</t>
  </si>
  <si>
    <t>№ в переписи 1858 года: 41</t>
  </si>
  <si>
    <t>с. 42, 44</t>
  </si>
  <si>
    <t>№ в переписи 1850 года: 49</t>
  </si>
  <si>
    <t>Блинов Павел Андреевич</t>
  </si>
  <si>
    <t>№ в переписи 1858 года: 42</t>
  </si>
  <si>
    <t>с. 44</t>
  </si>
  <si>
    <t>№ в переписи 1850 года: 50</t>
  </si>
  <si>
    <t>Богатырев Саватей Софонович</t>
  </si>
  <si>
    <t>№ в переписи 1858 года: 134</t>
  </si>
  <si>
    <t>с. 124</t>
  </si>
  <si>
    <t>№ в переписи 1850 года: 151</t>
  </si>
  <si>
    <t>Бухонин Гаврило Петрович</t>
  </si>
  <si>
    <t>№ в переписи 1858 года: 148</t>
  </si>
  <si>
    <t>с. 138</t>
  </si>
  <si>
    <t>№ в переписи 1850 года: 168</t>
  </si>
  <si>
    <t>Вагин Никифор Кузьмич</t>
  </si>
  <si>
    <t>№ в переписи 1858 года: 464</t>
  </si>
  <si>
    <t>Вдовин Андрей Тимофеевич</t>
  </si>
  <si>
    <t>№ в переписи 1858 года: 85</t>
  </si>
  <si>
    <t>с. 82</t>
  </si>
  <si>
    <t>№ в переписи 1850 года: 98</t>
  </si>
  <si>
    <t>Власов Николай Васильевич</t>
  </si>
  <si>
    <t>№ в переписи 1858 года: 146</t>
  </si>
  <si>
    <t>с. 136</t>
  </si>
  <si>
    <t>№ в переписи 1850 года: 166</t>
  </si>
  <si>
    <t>Воронин Василий Яковлевич</t>
  </si>
  <si>
    <t>№ в переписи 1858 года: 141</t>
  </si>
  <si>
    <t>с. 132</t>
  </si>
  <si>
    <t>№ в переписи 1850 года: 160</t>
  </si>
  <si>
    <t>Выборов Василий Тимофеевич</t>
  </si>
  <si>
    <t>№ в переписи 1858 года: 153</t>
  </si>
  <si>
    <t>с. 142</t>
  </si>
  <si>
    <t>№ в переписи 1850 года: 173</t>
  </si>
  <si>
    <t>Глубоков Петр Федорович</t>
  </si>
  <si>
    <t>№ в переписи 1858 года: 8</t>
  </si>
  <si>
    <t>с. 16</t>
  </si>
  <si>
    <t>№ в переписи 1850 года: 8</t>
  </si>
  <si>
    <t>Глубоков Михайло Захарович</t>
  </si>
  <si>
    <t>№ в переписи 1858 года: 9</t>
  </si>
  <si>
    <t>№ в переписи 1850 года: 9</t>
  </si>
  <si>
    <t>Горский Алексей Васильевич</t>
  </si>
  <si>
    <t>№ в переписи 1858 года: 478 (дополнение)</t>
  </si>
  <si>
    <t>с. 508</t>
  </si>
  <si>
    <t>Данилов Игнатий Фомич</t>
  </si>
  <si>
    <t>№ в переписи 1858 года: 81</t>
  </si>
  <si>
    <t>с. 80</t>
  </si>
  <si>
    <t>№ в переписи 1850 года: 94</t>
  </si>
  <si>
    <t>Данилов Миней Фомич</t>
  </si>
  <si>
    <t>№ в переписи 1858 года: 82</t>
  </si>
  <si>
    <t>№ в переписи 1850 года: 95</t>
  </si>
  <si>
    <t>Данилов Семен Никифорович</t>
  </si>
  <si>
    <t>№ в переписи 1858 года: 126</t>
  </si>
  <si>
    <t>с. 118</t>
  </si>
  <si>
    <t>№ в переписи 1850 года: 145</t>
  </si>
  <si>
    <t>Денисов Иван Иевлевич (?)</t>
  </si>
  <si>
    <t>№ в переписи 1858 года: 119</t>
  </si>
  <si>
    <t>с. 114</t>
  </si>
  <si>
    <t>№ в переписи 1850 года: 135</t>
  </si>
  <si>
    <t>Егоров Василий Иванович</t>
  </si>
  <si>
    <t>№ в переписи 1858 года: 156</t>
  </si>
  <si>
    <t>№ в переписи 1850 года: 177</t>
  </si>
  <si>
    <t>Зобнин Петр Агапович</t>
  </si>
  <si>
    <t>№ в переписи 1858 года: 32</t>
  </si>
  <si>
    <t>с. 38</t>
  </si>
  <si>
    <t>№ в переписи 1850 года: 39</t>
  </si>
  <si>
    <t>Зобнин Фрол Яковлевич</t>
  </si>
  <si>
    <t>№ в переписи 1858 года: 33</t>
  </si>
  <si>
    <t>№ в переписи 1850 года: 40</t>
  </si>
  <si>
    <t>Зобнин Андрей Иванович</t>
  </si>
  <si>
    <t>№ в переписи 1858 года: 34</t>
  </si>
  <si>
    <t>№ в переписи 1850 года: 41</t>
  </si>
  <si>
    <t>Зобнин Сергей Фомич</t>
  </si>
  <si>
    <t>№ в переписи 1858 года: 35</t>
  </si>
  <si>
    <t>№ в переписи 1850 года: 42</t>
  </si>
  <si>
    <t>Зырянов Семен Спиридонович</t>
  </si>
  <si>
    <t>№ в переписи 1858 года: 121</t>
  </si>
  <si>
    <t>№ в переписи 1850 года: 138</t>
  </si>
  <si>
    <t>Зырянов Михайло Родионович</t>
  </si>
  <si>
    <t>№ в переписи 1858 года: 122</t>
  </si>
  <si>
    <t>с. 116</t>
  </si>
  <si>
    <t>№ в переписи 1850 года: 139</t>
  </si>
  <si>
    <t>Кокушкин Яким Емельянович</t>
  </si>
  <si>
    <t>№ в переписи 1858 года: 26</t>
  </si>
  <si>
    <t>с. 32</t>
  </si>
  <si>
    <t>№ в переписи 1850 года: 32</t>
  </si>
  <si>
    <t>Комин Яков Данилович</t>
  </si>
  <si>
    <t>№ в переписи 1858 года: 105</t>
  </si>
  <si>
    <t>с. 102</t>
  </si>
  <si>
    <t>№ в переписи 1850 года: 119</t>
  </si>
  <si>
    <t>Комин Иван Афонасьевич</t>
  </si>
  <si>
    <t>№ в переписи 1858 года: 106</t>
  </si>
  <si>
    <t>№ в переписи 1850 года: 120</t>
  </si>
  <si>
    <t>Комин Федор Семенович</t>
  </si>
  <si>
    <t>№ в переписи 1858 года: 107</t>
  </si>
  <si>
    <t>с. 104</t>
  </si>
  <si>
    <t>№ в переписи 1850 года: 121</t>
  </si>
  <si>
    <t>Комин Филип Иванович</t>
  </si>
  <si>
    <t>№ в переписи 1858 года: 108</t>
  </si>
  <si>
    <t>№ в переписи 1850 года: 122</t>
  </si>
  <si>
    <t>Комин Евдоким Андреевич</t>
  </si>
  <si>
    <t>№ в переписи 1858 года: 149</t>
  </si>
  <si>
    <t>№ в переписи 1850 года: 169</t>
  </si>
  <si>
    <t>№ в переписи 1858 года: 160</t>
  </si>
  <si>
    <t>с. 146</t>
  </si>
  <si>
    <t>Крохалев Ефим Петрович</t>
  </si>
  <si>
    <t>№ в переписи 1858 года: 120</t>
  </si>
  <si>
    <t>№ в переписи 1850 года: 137</t>
  </si>
  <si>
    <t>Кудрявцов Николай Николаевич</t>
  </si>
  <si>
    <t>№ в переписи 1858 года: 155</t>
  </si>
  <si>
    <t>№ в переписи 1850 года: 176</t>
  </si>
  <si>
    <t>Кузнецов Петр Дмитриевич</t>
  </si>
  <si>
    <t>№ в переписи 1858 года: 30</t>
  </si>
  <si>
    <t>с. 36</t>
  </si>
  <si>
    <t>№ в переписи 1850 года: 36</t>
  </si>
  <si>
    <t>Кузнецов Афанасей Спиридонович</t>
  </si>
  <si>
    <t>№ в переписи 1858 года: 31</t>
  </si>
  <si>
    <t>с. 36, 38</t>
  </si>
  <si>
    <t>№ в переписи 1850 года: 37</t>
  </si>
  <si>
    <t>Кулаков Родион Андреевич</t>
  </si>
  <si>
    <t>№ в переписи 1858 года: 11</t>
  </si>
  <si>
    <t>с. 18</t>
  </si>
  <si>
    <t>№ в переписи 1850 года: 11</t>
  </si>
  <si>
    <t>Кулаков Матвей Маркович</t>
  </si>
  <si>
    <t>№ в переписи 1858 года: 12</t>
  </si>
  <si>
    <t>№ в переписи 1850 года: 12</t>
  </si>
  <si>
    <t>Лузин Данило Михайлович</t>
  </si>
  <si>
    <t>№ в переписи 1858 года: 23</t>
  </si>
  <si>
    <t>с. 28, 30</t>
  </si>
  <si>
    <t>№ в переписи 1850 года: 29</t>
  </si>
  <si>
    <t>Лузин Тимофей Герасимович</t>
  </si>
  <si>
    <t>№ в переписи 1858 года: 24</t>
  </si>
  <si>
    <t>с. 30, 32</t>
  </si>
  <si>
    <t>№ в переписи 1850 года: 30</t>
  </si>
  <si>
    <t>Манойлов Меркурий Иванович</t>
  </si>
  <si>
    <t>№ в переписи 1858 года: 113</t>
  </si>
  <si>
    <t>№ в переписи 1850 года: 129</t>
  </si>
  <si>
    <t>Макаров Кирило Галактионович</t>
  </si>
  <si>
    <t>№ в переписи 1858 года: 54</t>
  </si>
  <si>
    <t>№ в переписи 1850 года: 63</t>
  </si>
  <si>
    <t>Макаров Андрей Иванович</t>
  </si>
  <si>
    <t>№ в переписи 1858 года: 80</t>
  </si>
  <si>
    <t>с. 78</t>
  </si>
  <si>
    <t>№ в переписи 1850 года: 92</t>
  </si>
  <si>
    <t>Макаров Ефим Лазаревич</t>
  </si>
  <si>
    <t>№ в переписи 1858 года: 142</t>
  </si>
  <si>
    <t>с. 134</t>
  </si>
  <si>
    <t>№ в переписи 1850 года: 161</t>
  </si>
  <si>
    <t>Мутин Алексей Степанович</t>
  </si>
  <si>
    <t>№ в переписи 1858 года: 152</t>
  </si>
  <si>
    <t>№ в переписи 1850 года: 172</t>
  </si>
  <si>
    <t>Новиков Михайло Никифорович</t>
  </si>
  <si>
    <t>№ в переписи 1858 года: 157</t>
  </si>
  <si>
    <t>№ в переписи 1850 года: 178</t>
  </si>
  <si>
    <t>Овсянников Захар Андреевич</t>
  </si>
  <si>
    <t>№ в переписи 1858 года: 1</t>
  </si>
  <si>
    <t>с. 8</t>
  </si>
  <si>
    <t>№ в переписи 1850 года: 1</t>
  </si>
  <si>
    <t>Овсянников Тимофей Наумович</t>
  </si>
  <si>
    <t>№ в переписи 1858 года: 13</t>
  </si>
  <si>
    <t>с. 20</t>
  </si>
  <si>
    <t>№ в переписи 1850 года: 14</t>
  </si>
  <si>
    <t>Овсянников Меркулей Семенович</t>
  </si>
  <si>
    <t>№ в переписи 1858 года: 14</t>
  </si>
  <si>
    <t>№ в переписи 1850 года: 17</t>
  </si>
  <si>
    <t>Овсянников Степан Иванович</t>
  </si>
  <si>
    <t>№ в переписи 1858 года: 468</t>
  </si>
  <si>
    <t>Окунев Иван Андреевич</t>
  </si>
  <si>
    <t>№ в переписи 1858 года: 89</t>
  </si>
  <si>
    <t>с. 86</t>
  </si>
  <si>
    <t>№ в переписи 1850 года: 103</t>
  </si>
  <si>
    <t>№ в переписи 1858 года: 90</t>
  </si>
  <si>
    <t>с. 86, 88</t>
  </si>
  <si>
    <t>№ в переписи 1850 года: 104</t>
  </si>
  <si>
    <t>Окунев Иван Афонасьевич</t>
  </si>
  <si>
    <t>№ в переписи 1858 года: 91</t>
  </si>
  <si>
    <t>с. 90</t>
  </si>
  <si>
    <t>№ в переписи 1850 года: 105</t>
  </si>
  <si>
    <t>Окунев Трофим Корнилович</t>
  </si>
  <si>
    <t>№ в переписи 1858 года: 92</t>
  </si>
  <si>
    <t>№ в переписи 1850 года: 106</t>
  </si>
  <si>
    <t>Окунев Игнатий Евдокимович</t>
  </si>
  <si>
    <t>№ в переписи 1858 года: 93</t>
  </si>
  <si>
    <t>№ в переписи 1850 года: 107</t>
  </si>
  <si>
    <t>Окунев Яков Васильевич</t>
  </si>
  <si>
    <t>№ в переписи 1858 года: 94</t>
  </si>
  <si>
    <t>с. 92</t>
  </si>
  <si>
    <t>№ в переписи 1850 года: 108</t>
  </si>
  <si>
    <t>Осколков Евграф Дорофеевич</t>
  </si>
  <si>
    <t>№ в переписи 1858 года: 147</t>
  </si>
  <si>
    <t>№ в переписи 1850 года: 167</t>
  </si>
  <si>
    <t>Панов Андрей Иванович</t>
  </si>
  <si>
    <t>№ в переписи 1858 года: 130</t>
  </si>
  <si>
    <t>с. 122</t>
  </si>
  <si>
    <t>№ в переписи 1850 года: 147</t>
  </si>
  <si>
    <t>Панов Сидор Степанович</t>
  </si>
  <si>
    <t>№ в переписи 1858 года: 131</t>
  </si>
  <si>
    <t>с. 122, 124</t>
  </si>
  <si>
    <t>№ в переписи 1850 года: 148</t>
  </si>
  <si>
    <t>Панов Петр Сидорович</t>
  </si>
  <si>
    <t>№ в переписи 1858 года: 132</t>
  </si>
  <si>
    <t>№ в переписи 1850 года: 149</t>
  </si>
  <si>
    <t>Панов Степан Макарович</t>
  </si>
  <si>
    <t>№ в переписи 1858 года: 166</t>
  </si>
  <si>
    <t>с. 150</t>
  </si>
  <si>
    <t>№ в переписи 1850 года: 183</t>
  </si>
  <si>
    <t>Панов Сергей Гаврилович</t>
  </si>
  <si>
    <t>№ в переписи 1858 года: 469</t>
  </si>
  <si>
    <t>№ в переписи 1858 года: 470</t>
  </si>
  <si>
    <t>Побегалов Михайло Кирилович</t>
  </si>
  <si>
    <t>№ в переписи 1858 года: 125</t>
  </si>
  <si>
    <t>с. 116, 118</t>
  </si>
  <si>
    <t>№ в переписи 1850 года: 142</t>
  </si>
  <si>
    <t>Пономарев Климентей Леонтьевич</t>
  </si>
  <si>
    <t>№ в переписи 1858 года: 133</t>
  </si>
  <si>
    <t>№ в переписи 1850 года: 150</t>
  </si>
  <si>
    <t>№ в переписи 1858 года: 2</t>
  </si>
  <si>
    <t>с. 8, 10</t>
  </si>
  <si>
    <t>№ в переписи 1850 года: 2</t>
  </si>
  <si>
    <t>№ в переписи 1858 года: 3</t>
  </si>
  <si>
    <t>с. 10</t>
  </si>
  <si>
    <t>№ в переписи 1850 года: 3</t>
  </si>
  <si>
    <t>№ в переписи 1858 года: 4</t>
  </si>
  <si>
    <t>с. 10, 12</t>
  </si>
  <si>
    <t>№ в переписи 1850 года: 4</t>
  </si>
  <si>
    <t>№ в переписи 1858 года: 5</t>
  </si>
  <si>
    <t>с. 12</t>
  </si>
  <si>
    <t>№ в переписи 1850 года: 5</t>
  </si>
  <si>
    <t>№ в переписи 1858 года: 6</t>
  </si>
  <si>
    <t>№ в переписи 1850 года: 6</t>
  </si>
  <si>
    <t>№ в переписи 1858 года: 7</t>
  </si>
  <si>
    <t>с. 14</t>
  </si>
  <si>
    <t>№ в переписи 1850 года: 7</t>
  </si>
  <si>
    <t>№ в переписи 1858 года: 139</t>
  </si>
  <si>
    <t>с. 128</t>
  </si>
  <si>
    <t>№ в переписи 1850 года: 157</t>
  </si>
  <si>
    <t>№ в переписи 1858 года: 145</t>
  </si>
  <si>
    <t>№ в переписи 1850 года: 164</t>
  </si>
  <si>
    <t>№ в переписи 1858 года: 165</t>
  </si>
  <si>
    <t>№ в переписи 1850 года: 182</t>
  </si>
  <si>
    <t>Проскуряков Василий Дмитриевич</t>
  </si>
  <si>
    <t>№ в переписи 1858 года: 169</t>
  </si>
  <si>
    <t>Решетников Василий Васильевич</t>
  </si>
  <si>
    <t>№ в переписи 1858 года: 150</t>
  </si>
  <si>
    <t>с. 140</t>
  </si>
  <si>
    <t>№ в переписи 1850 года: 170</t>
  </si>
  <si>
    <t>Савастьянов Григорий Федорович</t>
  </si>
  <si>
    <t>№ в переписи 1858 года: 83</t>
  </si>
  <si>
    <t>Савастьянов Елизар Федорович</t>
  </si>
  <si>
    <t>№ в переписи 1858 года: 84</t>
  </si>
  <si>
    <t>№ в переписи 1850 года: 97</t>
  </si>
  <si>
    <t>Савастьянов Василей Спиридонович</t>
  </si>
  <si>
    <t>№ в переписи 1858 года: 86</t>
  </si>
  <si>
    <t>с. 82, 84</t>
  </si>
  <si>
    <t>№ в переписи 1850 года: 99</t>
  </si>
  <si>
    <t>Савастьянов Василей Потапович</t>
  </si>
  <si>
    <t>№ в переписи 1858 года: 87</t>
  </si>
  <si>
    <t>с. 84</t>
  </si>
  <si>
    <t>№ в переписи 1850 года: 100</t>
  </si>
  <si>
    <t>Савастьянов Емельян Гурьевич</t>
  </si>
  <si>
    <t>№ в переписи 1858 года: 88</t>
  </si>
  <si>
    <t>№ в переписи 1850 года: 101</t>
  </si>
  <si>
    <t>Силов Федор Анисимович</t>
  </si>
  <si>
    <t>№ в переписи 1858 года: 27</t>
  </si>
  <si>
    <t>с. 32, 34</t>
  </si>
  <si>
    <t>№ в переписи 1850 года: 33</t>
  </si>
  <si>
    <t>Силов Григорий Галактионович</t>
  </si>
  <si>
    <t>№ в переписи 1858 года: 28</t>
  </si>
  <si>
    <t>с. 34</t>
  </si>
  <si>
    <t>№ в переписи 1850 года: 34</t>
  </si>
  <si>
    <t>Силов Савва Карпович</t>
  </si>
  <si>
    <t>№ в переписи 1858 года: 29</t>
  </si>
  <si>
    <t>№ в переписи 1850 года: 35</t>
  </si>
  <si>
    <t>Силов Алексей Петрович</t>
  </si>
  <si>
    <t>№ в переписи 1858 года: 63</t>
  </si>
  <si>
    <t>с. 66</t>
  </si>
  <si>
    <t>№ в переписи 1850 года: 73</t>
  </si>
  <si>
    <t>Силов Панфил Алексеевич</t>
  </si>
  <si>
    <t>№ в переписи 1858 года: 167</t>
  </si>
  <si>
    <t>№ в переписи 1850 года: 184</t>
  </si>
  <si>
    <t>Собакин Осип Андреевич</t>
  </si>
  <si>
    <t>№ в переписи 1858 года: 123</t>
  </si>
  <si>
    <t>№ в переписи 1850 года: 140</t>
  </si>
  <si>
    <t>Собакин Андрей Васильевич</t>
  </si>
  <si>
    <t>№ в переписи 1858 года: 124</t>
  </si>
  <si>
    <t>№ в переписи 1850 года: 141</t>
  </si>
  <si>
    <t>Спицын Евгений Герасимович</t>
  </si>
  <si>
    <t>№ в переписи 1858 года: 109</t>
  </si>
  <si>
    <t>№ в переписи 1850 года: 123</t>
  </si>
  <si>
    <t>№ в переписи 1858 года: 110</t>
  </si>
  <si>
    <t>№ в переписи 1850 года: 124</t>
  </si>
  <si>
    <t>Спицын Яким Яковлевич</t>
  </si>
  <si>
    <t>№ в переписи 1858 года: 127</t>
  </si>
  <si>
    <t>с. 118, 120</t>
  </si>
  <si>
    <t>№ в переписи 1850 года: 144</t>
  </si>
  <si>
    <t>Спицын Никифор Сергеевич</t>
  </si>
  <si>
    <t>№ в переписи 1858 года: 128</t>
  </si>
  <si>
    <t>с. 120</t>
  </si>
  <si>
    <t>Спицын Сергей Назарович</t>
  </si>
  <si>
    <t>№ в переписи 1858 года: 129</t>
  </si>
  <si>
    <t>с. 120, 122</t>
  </si>
  <si>
    <t>№ в переписи 1850 года: 146</t>
  </si>
  <si>
    <t>Сухов Василий Иванович</t>
  </si>
  <si>
    <t>№ в переписи 1858 года: 158</t>
  </si>
  <si>
    <t>№ в переписи 1850 года: 179</t>
  </si>
  <si>
    <t>Сырвачев Петр Михайлович</t>
  </si>
  <si>
    <t>№ в переписи 1858 года: 140</t>
  </si>
  <si>
    <t>с. 130, 132</t>
  </si>
  <si>
    <t>№ в переписи 1850 года: 159</t>
  </si>
  <si>
    <t>Третьяков Яков Иванович</t>
  </si>
  <si>
    <t>№ в переписи 1858 года: 170</t>
  </si>
  <si>
    <t>Усольцов Лазарь Федорович</t>
  </si>
  <si>
    <t>№ в переписи 1858 года: 64</t>
  </si>
  <si>
    <t>№ в переписи 1850 года: 74</t>
  </si>
  <si>
    <t>Усольцов Петр Николаевич</t>
  </si>
  <si>
    <t>№ в переписи 1858 года: 65</t>
  </si>
  <si>
    <t>с. 68</t>
  </si>
  <si>
    <t>№ в переписи 1850 года: 75</t>
  </si>
  <si>
    <t>Усольцов Тихон Спиридонович</t>
  </si>
  <si>
    <t>№ в переписи 1858 года: 66</t>
  </si>
  <si>
    <t>№ в переписи 1850 года: 76</t>
  </si>
  <si>
    <t>Усольцов Андрей Иванович</t>
  </si>
  <si>
    <t>№ в переписи 1858 года: 67</t>
  </si>
  <si>
    <t>№ в переписи 1850 года: 77</t>
  </si>
  <si>
    <t>Усольцов Василий Николаевич</t>
  </si>
  <si>
    <t>№ в переписи 1858 года: 68</t>
  </si>
  <si>
    <t>с. 70</t>
  </si>
  <si>
    <t>№ в переписи 1850 года: 78</t>
  </si>
  <si>
    <t>Усольцов Алексей Захарович</t>
  </si>
  <si>
    <t>№ в переписи 1858 года: 69</t>
  </si>
  <si>
    <t>№ в переписи 1850 года: 79</t>
  </si>
  <si>
    <t>Усольцов Прокопий Тимофеевич</t>
  </si>
  <si>
    <t>№ в переписи 1858 года: 70</t>
  </si>
  <si>
    <t>№ в переписи 1850 года: 80</t>
  </si>
  <si>
    <t>Усольцов Дмитрей Логинович</t>
  </si>
  <si>
    <t>№ в переписи 1858 года: 71</t>
  </si>
  <si>
    <t>с. 72</t>
  </si>
  <si>
    <t>№ в переписи 1850 года: 82</t>
  </si>
  <si>
    <t>Усольцов Данило Васильевич</t>
  </si>
  <si>
    <t>№ в переписи 1858 года: 72</t>
  </si>
  <si>
    <t>№ в переписи 1850 года: 83</t>
  </si>
  <si>
    <t>Усольцов Григорий Васильевич</t>
  </si>
  <si>
    <t>№ в переписи 1858 года: 73</t>
  </si>
  <si>
    <t>с. 74</t>
  </si>
  <si>
    <t>№ в переписи 1850 года: 85</t>
  </si>
  <si>
    <t>Усольцов Семен Гаврилович</t>
  </si>
  <si>
    <t>№ в переписи 1858 года: 74</t>
  </si>
  <si>
    <t>№ в переписи 1850 года: 86</t>
  </si>
  <si>
    <t>Усольцов Никита Гаврилович</t>
  </si>
  <si>
    <t>№ в переписи 1858 года: 75</t>
  </si>
  <si>
    <t>с. 76</t>
  </si>
  <si>
    <t>№ в переписи 1850 года: 87</t>
  </si>
  <si>
    <t>Усольцов Максим Герасимович</t>
  </si>
  <si>
    <t>№ в переписи 1858 года: 76</t>
  </si>
  <si>
    <t>№ в переписи 1850 года: 88</t>
  </si>
  <si>
    <t>Усольцов Осип Афонасьевич</t>
  </si>
  <si>
    <t>№ в переписи 1858 года: 77</t>
  </si>
  <si>
    <t>№ в переписи 1850 года: 89</t>
  </si>
  <si>
    <t>Усольцова Настасья Григорьевна</t>
  </si>
  <si>
    <t>№ в переписи 1858 года: 78</t>
  </si>
  <si>
    <t>с. 77</t>
  </si>
  <si>
    <t>№ в переписи 1850 года: 90</t>
  </si>
  <si>
    <t>Усольцов Василий Васильевич</t>
  </si>
  <si>
    <t>№ в переписи 1858 года: 79</t>
  </si>
  <si>
    <t>№ в переписи 1850 года: 91</t>
  </si>
  <si>
    <t>Усольцов Евдоким Яковлевич</t>
  </si>
  <si>
    <t>№ в переписи 1858 года: 465</t>
  </si>
  <si>
    <t>Уфинцов Андрей Иванович</t>
  </si>
  <si>
    <t>№ в переписи 1858 года: 10</t>
  </si>
  <si>
    <t>№ в переписи 1850 года: 10</t>
  </si>
  <si>
    <t>Уфинцов Фрол Федорович</t>
  </si>
  <si>
    <t>№ в переписи 1850 года: 153</t>
  </si>
  <si>
    <t>Уфинцов Василий Власиевич</t>
  </si>
  <si>
    <t>№ в переписи 1858 года: 136</t>
  </si>
  <si>
    <t>с. 126</t>
  </si>
  <si>
    <t>№ в переписи 1850 года: 154</t>
  </si>
  <si>
    <t>Уфинцов Игнатий Павлович</t>
  </si>
  <si>
    <t>№ в переписи 1858 года: 137</t>
  </si>
  <si>
    <t>№ в переписи 1850 года: 155</t>
  </si>
  <si>
    <t>Уфинцов Дмитрий Семенович</t>
  </si>
  <si>
    <t>№ в переписи 1858 года: 138</t>
  </si>
  <si>
    <t>№ в переписи 1850 года: 156</t>
  </si>
  <si>
    <t>Уфинцов Алексей Семенович</t>
  </si>
  <si>
    <t>№ в переписи 1858 года: 163</t>
  </si>
  <si>
    <t>№ в переписи 1850 года: 180</t>
  </si>
  <si>
    <t>Черемин Самойло Иванович</t>
  </si>
  <si>
    <t>№ в переписи 1858 года: 161</t>
  </si>
  <si>
    <t>№ в переписи 1858 года: 15</t>
  </si>
  <si>
    <t>с. 20, 22</t>
  </si>
  <si>
    <t>№ в переписи 1850 года: 20</t>
  </si>
  <si>
    <t>№ в переписи 1858 года: 16</t>
  </si>
  <si>
    <t>с. 22</t>
  </si>
  <si>
    <t>№ в переписи 1850 года: 21</t>
  </si>
  <si>
    <t>№ в переписи 1858 года: 17</t>
  </si>
  <si>
    <t>с. 22, 24</t>
  </si>
  <si>
    <t>№ в переписи 1850 года: 22</t>
  </si>
  <si>
    <t>№ в переписи 1858 года: 18</t>
  </si>
  <si>
    <t>с. 24</t>
  </si>
  <si>
    <t>№ в переписи 1850 года: 23</t>
  </si>
  <si>
    <t>№ в переписи 1858 года: 19</t>
  </si>
  <si>
    <t>с. 24, 26</t>
  </si>
  <si>
    <t>№ в переписи 1850 года: 24</t>
  </si>
  <si>
    <t>№ в переписи 1858 года: 20</t>
  </si>
  <si>
    <t>с. 26</t>
  </si>
  <si>
    <t>№ в переписи 1850 года: 25</t>
  </si>
  <si>
    <t>№ в переписи 1858 года: 21</t>
  </si>
  <si>
    <t>с. 26, 28</t>
  </si>
  <si>
    <t>№ в переписи 1850 года: 27</t>
  </si>
  <si>
    <t>№ в переписи 1858 года: 22</t>
  </si>
  <si>
    <t>с. 28</t>
  </si>
  <si>
    <t>№ в переписи 1850 года: 28</t>
  </si>
  <si>
    <t>№ в переписи 1858 года: 144</t>
  </si>
  <si>
    <t>№ в переписи 1850 года: 163</t>
  </si>
  <si>
    <t>№ в переписи 1858 года: 168</t>
  </si>
  <si>
    <t>№ в переписи 1858 года: 472</t>
  </si>
  <si>
    <t>Шермин Игнатий Федосеевич</t>
  </si>
  <si>
    <t>№ в переписи 1858 года: 43</t>
  </si>
  <si>
    <t>с. 44, 46</t>
  </si>
  <si>
    <t>№ в переписи 1850 года: 51</t>
  </si>
  <si>
    <t>Шермин Василий Федосеевич</t>
  </si>
  <si>
    <t>№ в переписи 1858 года: 44</t>
  </si>
  <si>
    <t>с. 46, 48</t>
  </si>
  <si>
    <t>№ в переписи 1850 года: 52</t>
  </si>
  <si>
    <t>№ в переписи 1858 года: 95</t>
  </si>
  <si>
    <t>с. 93</t>
  </si>
  <si>
    <t>№ в переписи 1850 года: 109</t>
  </si>
  <si>
    <t>№ в переписи 1858 года: 96</t>
  </si>
  <si>
    <t>с. 92, 94</t>
  </si>
  <si>
    <t>№ в переписи 1850 года: 110</t>
  </si>
  <si>
    <t>№ в переписи 1858 года: 97</t>
  </si>
  <si>
    <t>с. 94</t>
  </si>
  <si>
    <t>№ в переписи 1850 года: 111</t>
  </si>
  <si>
    <t>№ в переписи 1858 года: 98</t>
  </si>
  <si>
    <t>с. 96</t>
  </si>
  <si>
    <t>№ в переписи 1850 года: 112</t>
  </si>
  <si>
    <t xml:space="preserve"> № в переписи 1858 года: 99</t>
  </si>
  <si>
    <t>№ в переписи 1850 года: 113</t>
  </si>
  <si>
    <t>№ в переписи 1858 года: 100</t>
  </si>
  <si>
    <t>с. 98</t>
  </si>
  <si>
    <t>№ в переписи 1850 года: 114</t>
  </si>
  <si>
    <t>№ в переписи 1858 года: 101</t>
  </si>
  <si>
    <t>№ в переписи 1850 года: 115</t>
  </si>
  <si>
    <t>№ в переписи 1858 года: 102</t>
  </si>
  <si>
    <t>с. 98, 100</t>
  </si>
  <si>
    <t>№ в переписи 1850 года: 116</t>
  </si>
  <si>
    <t>№ в переписи 1858 года: 103</t>
  </si>
  <si>
    <t>с. 100</t>
  </si>
  <si>
    <t>№ в переписи 1850 года: 117</t>
  </si>
  <si>
    <t>Шехарев Степан Перфильевич</t>
  </si>
  <si>
    <t>№ в переписи 1858 года: 104</t>
  </si>
  <si>
    <t>№ в переписи 1850 года: 118</t>
  </si>
  <si>
    <t>Щелканов Кондратий Яковлевич</t>
  </si>
  <si>
    <t>№ в переписи 1858 года: 143</t>
  </si>
  <si>
    <t>№ в переписи 1850 года: 162</t>
  </si>
  <si>
    <t>Щелконогов Герасим Семенович</t>
  </si>
  <si>
    <t>№ в переписи 1858 года: 151</t>
  </si>
  <si>
    <t>№ в переписи 1850 года: 171 (назван Щелгконовым)</t>
  </si>
  <si>
    <t>Южаков Федор Иванович</t>
  </si>
  <si>
    <t>№ в переписи 1858 года: 25</t>
  </si>
  <si>
    <t>№ в переписи 1850 года: 31</t>
  </si>
  <si>
    <t>Ярушев Григорий Осипович</t>
  </si>
  <si>
    <t>№ в переписи 1858 года: 111</t>
  </si>
  <si>
    <t>с. 106</t>
  </si>
  <si>
    <t>№ в переписи 1850 года: 126</t>
  </si>
  <si>
    <t>Ярушев Василий Лукич</t>
  </si>
  <si>
    <t>№ в переписи 1858 года: 112</t>
  </si>
  <si>
    <t>с. 106, 108</t>
  </si>
  <si>
    <t>№ в переписи 1850 года: 127</t>
  </si>
  <si>
    <t>1854</t>
  </si>
  <si>
    <t>1854.</t>
  </si>
  <si>
    <t>1857</t>
  </si>
  <si>
    <t>1853.</t>
  </si>
  <si>
    <t>1852.</t>
  </si>
  <si>
    <t>1851.</t>
  </si>
  <si>
    <t>1851</t>
  </si>
  <si>
    <t>1853</t>
  </si>
  <si>
    <t>1852</t>
  </si>
  <si>
    <t>1855</t>
  </si>
  <si>
    <t>1855.</t>
  </si>
  <si>
    <t>1856</t>
  </si>
  <si>
    <t>Родился</t>
  </si>
  <si>
    <t>стр.</t>
  </si>
  <si>
    <t>пер. 1850</t>
  </si>
  <si>
    <t>год рож.</t>
  </si>
  <si>
    <t>комментарий2</t>
  </si>
  <si>
    <t>Год св-бы</t>
  </si>
  <si>
    <t>Ревизские сказки</t>
  </si>
  <si>
    <t>Перепись</t>
  </si>
  <si>
    <t>Имя персоны вносится в формате ФИО в имен.п.. Желательно в современном варианте, для того чтобы они участвовали в поиске совпадений.</t>
  </si>
  <si>
    <t>Дата вносится в формате день/мес/год.</t>
  </si>
  <si>
    <t xml:space="preserve">Ревизскиие сказки: изначально внесены только главы семейств. Для улучшения поиска можно/нужно добавлять строки с другими членами семейства из документов. </t>
  </si>
  <si>
    <t>Списки семей и Избирателей править на листе "Все найденные персоны"</t>
  </si>
  <si>
    <t>Рекомендации по оформлению</t>
  </si>
  <si>
    <r>
      <t xml:space="preserve">Курсивом </t>
    </r>
    <r>
      <rPr>
        <sz val="11"/>
        <color theme="1"/>
        <rFont val="Calibri"/>
        <family val="2"/>
        <charset val="204"/>
        <scheme val="minor"/>
      </rPr>
      <t>выделяется то, что было добавлено в древо</t>
    </r>
  </si>
  <si>
    <t>Ларионова Ефросиния Дмитриевна</t>
  </si>
  <si>
    <t>Код? Лузина сын Кувман</t>
  </si>
  <si>
    <t>дочь Егора Ок? Екатерина</t>
  </si>
  <si>
    <t>Блинов Василий *</t>
  </si>
  <si>
    <t>Власов Георгий Николаевич</t>
  </si>
  <si>
    <t>Пайков Яким Афанасьевич</t>
  </si>
  <si>
    <t>*уфимцев*</t>
  </si>
  <si>
    <t>родителю младенца брат</t>
  </si>
  <si>
    <t>* Елена Михайловна</t>
  </si>
  <si>
    <t>сноха, солдатка</t>
  </si>
  <si>
    <t>239 000</t>
  </si>
  <si>
    <t>01/01/1879</t>
  </si>
  <si>
    <t>04/01/1879</t>
  </si>
  <si>
    <t>Св-во 109</t>
  </si>
  <si>
    <t>Уфимцева Прасковья Ефимовна</t>
  </si>
  <si>
    <t>Уфимцев Ефим Васильвич</t>
  </si>
  <si>
    <t>Уфимцева Мария Петровна</t>
  </si>
  <si>
    <t>4/02/1879</t>
  </si>
  <si>
    <t>5/02/1879</t>
  </si>
  <si>
    <t>Комелькова Агафья Васильевна</t>
  </si>
  <si>
    <t>Комельков Василий Григорьевич</t>
  </si>
  <si>
    <t>Комелькова Варвара Осиповна</t>
  </si>
  <si>
    <t>Комелькова Елена Ивановна</t>
  </si>
  <si>
    <t>родителю младенца мать</t>
  </si>
  <si>
    <t>242а 003</t>
  </si>
  <si>
    <t>12/02/1879</t>
  </si>
  <si>
    <t>Ярутов Федор Григорьевич</t>
  </si>
  <si>
    <t>243а 004</t>
  </si>
  <si>
    <t>=ПОИСКПОЗX(S$1;B85:M85;2)</t>
  </si>
  <si>
    <t>11/02/1879</t>
  </si>
  <si>
    <t>02/1879</t>
  </si>
  <si>
    <t>19/02/1879</t>
  </si>
  <si>
    <t>Та?</t>
  </si>
  <si>
    <t>244а 004</t>
  </si>
  <si>
    <t>25/03/1879</t>
  </si>
  <si>
    <t>26/03/1879</t>
  </si>
  <si>
    <t>Ти?</t>
  </si>
  <si>
    <t>Лузина Надежда Сергеевна</t>
  </si>
  <si>
    <t>дочь Лузина Сергея</t>
  </si>
  <si>
    <t>251а 002</t>
  </si>
  <si>
    <t>Ти</t>
  </si>
  <si>
    <t>родителю младенца сестра</t>
  </si>
  <si>
    <t>251а 003</t>
  </si>
  <si>
    <t>252a 000</t>
  </si>
  <si>
    <t>18/03/1878</t>
  </si>
  <si>
    <t>19/03/1878</t>
  </si>
  <si>
    <t>Кузнецова Анисия Петровна</t>
  </si>
  <si>
    <t>138а 002</t>
  </si>
  <si>
    <t>Земли на одного члена семьи</t>
  </si>
  <si>
    <t>брат</t>
  </si>
  <si>
    <t>жена Филиппа</t>
  </si>
  <si>
    <t>жена Михаила</t>
  </si>
  <si>
    <t>жена Григория</t>
  </si>
  <si>
    <t>дочь Григория</t>
  </si>
  <si>
    <t>сын Григория</t>
  </si>
  <si>
    <t>сын Ивана</t>
  </si>
  <si>
    <t>2 сын Григория. В 1855 отдан в рекруты.</t>
  </si>
  <si>
    <t>жена Ивана Григорьевича</t>
  </si>
  <si>
    <t>3/02/1857</t>
  </si>
  <si>
    <t>5/02/1857</t>
  </si>
  <si>
    <t>? Михаил Васильевич</t>
  </si>
  <si>
    <t>сестра отцу младенца</t>
  </si>
  <si>
    <t>153а 004</t>
  </si>
  <si>
    <t>Перепись года</t>
  </si>
  <si>
    <t>Бабин Герасим Меркурьевич</t>
  </si>
  <si>
    <t>№ в переписи 1850 года: 43</t>
  </si>
  <si>
    <t>с. 25</t>
  </si>
  <si>
    <t>Бабин Федор Петрович</t>
  </si>
  <si>
    <t>с. 65</t>
  </si>
  <si>
    <t>Бабин Евдоким Петрович</t>
  </si>
  <si>
    <t>Бабин Ларион Евдокимович</t>
  </si>
  <si>
    <t>Бабин Игнатей Корнилович</t>
  </si>
  <si>
    <t>№ в переписи 1850 года: 134</t>
  </si>
  <si>
    <t>с. 67</t>
  </si>
  <si>
    <t>с. 35</t>
  </si>
  <si>
    <t>с. 37</t>
  </si>
  <si>
    <t>с. 39</t>
  </si>
  <si>
    <t>с. 85</t>
  </si>
  <si>
    <t>с. 29</t>
  </si>
  <si>
    <t>с. 31</t>
  </si>
  <si>
    <t>№ в переписи 1850 года: 59</t>
  </si>
  <si>
    <t>с. 33</t>
  </si>
  <si>
    <t>Блинов Герасим Родионович</t>
  </si>
  <si>
    <t>Блинов Никита Герасимович</t>
  </si>
  <si>
    <t>с. 27</t>
  </si>
  <si>
    <t>Блинов Андрей Алексеевич</t>
  </si>
  <si>
    <t>с. 73</t>
  </si>
  <si>
    <t>с. 79</t>
  </si>
  <si>
    <t>с. 49, 51</t>
  </si>
  <si>
    <t>Воронин Василей Яковлевич</t>
  </si>
  <si>
    <t>Выборов Тимофей Иванович</t>
  </si>
  <si>
    <t>с. 81</t>
  </si>
  <si>
    <t>с. 11</t>
  </si>
  <si>
    <t>Данилов Игнатей Фомич</t>
  </si>
  <si>
    <t>с. 49</t>
  </si>
  <si>
    <t>№ в переписи 1850 года: 143</t>
  </si>
  <si>
    <t>с. 69</t>
  </si>
  <si>
    <t>Денисов Иван Иевлевич</t>
  </si>
  <si>
    <t>Денисов Родион Аммосович</t>
  </si>
  <si>
    <t>№ в переписи 1850 года: 136</t>
  </si>
  <si>
    <t>Егоров Василей Иванович</t>
  </si>
  <si>
    <t>с. 83</t>
  </si>
  <si>
    <t>с. 23</t>
  </si>
  <si>
    <t>Зобнин Василий Лаврентьевич</t>
  </si>
  <si>
    <t>Зобнин Зеновий Фомич</t>
  </si>
  <si>
    <t>Зобнин Иван Григорьевич</t>
  </si>
  <si>
    <t>Зырянов Семион Спиридонович</t>
  </si>
  <si>
    <t>Кожевников Антон Никитич</t>
  </si>
  <si>
    <t>№ в переписи 1850 года: 18</t>
  </si>
  <si>
    <t>с. 13</t>
  </si>
  <si>
    <t>Кожевников Василий Никитич</t>
  </si>
  <si>
    <t>№ в переписи 1850 года: 19</t>
  </si>
  <si>
    <t>с. 19</t>
  </si>
  <si>
    <t>с. 61</t>
  </si>
  <si>
    <t>Комин Афанасей Семенович</t>
  </si>
  <si>
    <t>Комин Иван Артемьевич</t>
  </si>
  <si>
    <t>Красиков Захар Степанович</t>
  </si>
  <si>
    <t>№ в переписи 1850 года: 174</t>
  </si>
  <si>
    <t>Крохалев Петр Архипович</t>
  </si>
  <si>
    <t>с. 21</t>
  </si>
  <si>
    <t>Кузнецов Фома Ларионович</t>
  </si>
  <si>
    <t>Кузнецова Василиса Антоновна</t>
  </si>
  <si>
    <t>№ в переписи 1850 года: 38</t>
  </si>
  <si>
    <t>с. 11, 13</t>
  </si>
  <si>
    <t>Лузин Михайло Спиридонович</t>
  </si>
  <si>
    <t>Лузин Герасим Иванович</t>
  </si>
  <si>
    <t>Макаров Евдоким Иванович</t>
  </si>
  <si>
    <t>№ в переписи 1850 года: 93</t>
  </si>
  <si>
    <t>Манойлов Давыд Яковлевич</t>
  </si>
  <si>
    <t>№ в переписи 1850 года: 128</t>
  </si>
  <si>
    <t>с. 63</t>
  </si>
  <si>
    <t>Манойлов Илья Яковлевич</t>
  </si>
  <si>
    <t>Носонов Гаврило Евдокимович</t>
  </si>
  <si>
    <t>№ в переписи 1850 года: 152</t>
  </si>
  <si>
    <t>с. 7</t>
  </si>
  <si>
    <t>Овсянников Петр Федотович</t>
  </si>
  <si>
    <t>№ в переписи 1850 года: 13</t>
  </si>
  <si>
    <t>Овсянников Наум Петрович</t>
  </si>
  <si>
    <t>Овсянников Григорий Арсентьевич</t>
  </si>
  <si>
    <t>№ в переписи 1850 года: 15</t>
  </si>
  <si>
    <t>Овсянников Иван Филипович</t>
  </si>
  <si>
    <t>№ в переписи 1850 года: 16</t>
  </si>
  <si>
    <t>Овсянников Семен Иванович</t>
  </si>
  <si>
    <t>Окунев Андрей Федорович</t>
  </si>
  <si>
    <t>с. 53</t>
  </si>
  <si>
    <t>Окунев Афанасей Корнилович</t>
  </si>
  <si>
    <t>с. 55</t>
  </si>
  <si>
    <t>Окунев Евдоким Сергеевич</t>
  </si>
  <si>
    <t>Панов Иван Макарович</t>
  </si>
  <si>
    <t>с. 71</t>
  </si>
  <si>
    <t>Пономарев Леонтий Козмич</t>
  </si>
  <si>
    <t>с. 9</t>
  </si>
  <si>
    <t>с. 9, 11</t>
  </si>
  <si>
    <t>с. 75</t>
  </si>
  <si>
    <t>Решетников Иван Васильевич</t>
  </si>
  <si>
    <t>№ в переписи 1850 года: 165</t>
  </si>
  <si>
    <t>Решетников Василей Васильевич</t>
  </si>
  <si>
    <t>Савастьянов Григорей Федорович</t>
  </si>
  <si>
    <t>№ в переписи 1850 года: 96</t>
  </si>
  <si>
    <t>Савастьянов Ефим Гурьянович</t>
  </si>
  <si>
    <t>с. 51</t>
  </si>
  <si>
    <t>Савастьянов Потап Гурьянович</t>
  </si>
  <si>
    <t>Савастьянов Емельян Гурьянович</t>
  </si>
  <si>
    <t>Савастьянов Спиридон Евсеевич</t>
  </si>
  <si>
    <t>№ в переписи 1850 года: 102</t>
  </si>
  <si>
    <t>Силов Анисим Панкратович</t>
  </si>
  <si>
    <t>Силов Галактион Панкратович</t>
  </si>
  <si>
    <t>Силов Григорий Карпович</t>
  </si>
  <si>
    <t>Силов Савва Денисович</t>
  </si>
  <si>
    <t>№ в переписи 1850 года: 72</t>
  </si>
  <si>
    <t>с. 41</t>
  </si>
  <si>
    <t>Собакин Семен Ильич</t>
  </si>
  <si>
    <t>Собакин Василей Михайлович</t>
  </si>
  <si>
    <t>Соколов Андрей Иванович</t>
  </si>
  <si>
    <t>№ в переписи 1850 года: 175</t>
  </si>
  <si>
    <t>Спицын Герасим Максимович</t>
  </si>
  <si>
    <t>Спицын Иван Дементьевич</t>
  </si>
  <si>
    <t>Спицын Евдоким Исакович</t>
  </si>
  <si>
    <t>№ в переписи 1850 года: 125</t>
  </si>
  <si>
    <t>с. 69, 71</t>
  </si>
  <si>
    <t>Стариков Ефим Михайлович</t>
  </si>
  <si>
    <t>№ в переписи 1850 года: 45</t>
  </si>
  <si>
    <t>Сухов Василей Иванович</t>
  </si>
  <si>
    <t>Сырвачев Михайло Петрович</t>
  </si>
  <si>
    <t>Усольцов Михайло Спиридонович</t>
  </si>
  <si>
    <t>с. 41, 43</t>
  </si>
  <si>
    <t>с. 43</t>
  </si>
  <si>
    <t>Усольцов Василей Николаевич</t>
  </si>
  <si>
    <t>Усольцов Степан Никифорович</t>
  </si>
  <si>
    <t>Усольцов Афанасей Никифорович</t>
  </si>
  <si>
    <t>№ в переписи 1850 года: 81</t>
  </si>
  <si>
    <t>с. 45</t>
  </si>
  <si>
    <t>Усольцов Логин Никифорович</t>
  </si>
  <si>
    <t>Усольцов Василей Александрович</t>
  </si>
  <si>
    <t>Усольцова Татьяна Терентьевна</t>
  </si>
  <si>
    <t>№ в переписи 1850 года: 84</t>
  </si>
  <si>
    <t>с. 46</t>
  </si>
  <si>
    <t>Усольцов Григорей Гаврилович</t>
  </si>
  <si>
    <t>с. 47</t>
  </si>
  <si>
    <t>Усольцов Осип Афанасьевич</t>
  </si>
  <si>
    <t>Усольцов Василей Леонтьевич</t>
  </si>
  <si>
    <t>Уфинцов Федор Иванович</t>
  </si>
  <si>
    <t>Уфинцов Петр Леонтьевич</t>
  </si>
  <si>
    <t>Уфинцов Игнатей Павлович</t>
  </si>
  <si>
    <t>Уфинцов Дмитрей Семенович</t>
  </si>
  <si>
    <t>Хитрых Екатерина Петровна</t>
  </si>
  <si>
    <t>№ в переписи 1850 года: 158</t>
  </si>
  <si>
    <t>с. 13, 15</t>
  </si>
  <si>
    <t>с. 15</t>
  </si>
  <si>
    <t>с. 17</t>
  </si>
  <si>
    <t>№ в переписи 1850 года: 26</t>
  </si>
  <si>
    <t>Шермин Федосей Степанович</t>
  </si>
  <si>
    <t>с. 27, 29</t>
  </si>
  <si>
    <t>Шермин Василий Федосееви</t>
  </si>
  <si>
    <t>Шермин Андрей Васильевич</t>
  </si>
  <si>
    <t>№ в переписи 1850 года: 53</t>
  </si>
  <si>
    <t>с. 55, 57</t>
  </si>
  <si>
    <t>с. 57</t>
  </si>
  <si>
    <t>с. 59</t>
  </si>
  <si>
    <t>Щелканов Яков Павлович</t>
  </si>
  <si>
    <t>Щелгконов (Щелконогов - по переписи 1958 года) Герасим Семенович</t>
  </si>
  <si>
    <t>№ в переписи 1850 года: 171</t>
  </si>
  <si>
    <t>Южаков Иван Антипович</t>
  </si>
  <si>
    <t>Ярушев Иван Васильевич</t>
  </si>
  <si>
    <t>Ярушев Василей Лукич</t>
  </si>
  <si>
    <t>1847</t>
  </si>
  <si>
    <t>1836</t>
  </si>
  <si>
    <t>1839</t>
  </si>
  <si>
    <t>1845</t>
  </si>
  <si>
    <t>1841</t>
  </si>
  <si>
    <t>1849</t>
  </si>
  <si>
    <t>1848)</t>
  </si>
  <si>
    <t>1846</t>
  </si>
  <si>
    <t>1840</t>
  </si>
  <si>
    <t>1848</t>
  </si>
  <si>
    <t>1847.</t>
  </si>
  <si>
    <t>1835</t>
  </si>
  <si>
    <t>1842</t>
  </si>
  <si>
    <t>1843</t>
  </si>
  <si>
    <t>1850</t>
  </si>
  <si>
    <t>1834</t>
  </si>
  <si>
    <t>1837</t>
  </si>
  <si>
    <t>1844</t>
  </si>
  <si>
    <t>1838</t>
  </si>
  <si>
    <t>умер/отдан в рекруты</t>
  </si>
  <si>
    <t>отдан в рекруты 1836</t>
  </si>
  <si>
    <t xml:space="preserve">31 во время пред. Переписи </t>
  </si>
  <si>
    <t>умер в 1841</t>
  </si>
  <si>
    <t>сын Лаврентия</t>
  </si>
  <si>
    <t>племянник Лаврентию</t>
  </si>
  <si>
    <t>сын Григорию</t>
  </si>
  <si>
    <t>дочь Лаврентия. Год р. Возможно другой</t>
  </si>
  <si>
    <t>Мать Григория Ефимовича</t>
  </si>
  <si>
    <t>Жена Григория Ефимовича</t>
  </si>
  <si>
    <t>стр.25</t>
  </si>
  <si>
    <t>сын Степана</t>
  </si>
  <si>
    <t>брат Степана</t>
  </si>
  <si>
    <t>мать Степана</t>
  </si>
  <si>
    <t>жена Степана</t>
  </si>
  <si>
    <t>жена Лаврентия</t>
  </si>
  <si>
    <t>дочь Лаврентия</t>
  </si>
  <si>
    <t>племянник Степану</t>
  </si>
  <si>
    <t>Бабин Кирило Иванович</t>
  </si>
  <si>
    <t>№ в переписи 1816 года: 43</t>
  </si>
  <si>
    <t>№ в переписи 1816 года: 123</t>
  </si>
  <si>
    <t>№ в переписи 1816 года: 124</t>
  </si>
  <si>
    <t>Бабин Федор Иванович</t>
  </si>
  <si>
    <t>№ в переписи 1816 года: 125</t>
  </si>
  <si>
    <t>№ в переписи 1816 года: 126</t>
  </si>
  <si>
    <t>Бабин Ефим Савич</t>
  </si>
  <si>
    <t>№ в переписи 1816 года: 127</t>
  </si>
  <si>
    <t>№ в переписи 1816 года: 62</t>
  </si>
  <si>
    <t>№ в переписи 1816 года: 63</t>
  </si>
  <si>
    <t>№ в переписи 1816 года: 64</t>
  </si>
  <si>
    <t>№ в переписи 1816 года: 65</t>
  </si>
  <si>
    <t>№ в переписи 1816 года: 66</t>
  </si>
  <si>
    <t>№ в переписи 1816 года: 53</t>
  </si>
  <si>
    <t>№ в переписи 1816 года: 54</t>
  </si>
  <si>
    <t>№ в переписи 1816 года: 55</t>
  </si>
  <si>
    <t>№ в переписи 1816 года: 56</t>
  </si>
  <si>
    <t>№ в переписи 1816 года: 57</t>
  </si>
  <si>
    <t>№ в переписи 1816 года: 58</t>
  </si>
  <si>
    <t>№ в переписи 1816 года: 59</t>
  </si>
  <si>
    <t>№ в переписи 1816 года: 60</t>
  </si>
  <si>
    <t>№ в переписи 1816 года: 45</t>
  </si>
  <si>
    <t>с. 30</t>
  </si>
  <si>
    <t>Блинов Ульян Кирилович</t>
  </si>
  <si>
    <t>№ в переписи 1816 года: 46</t>
  </si>
  <si>
    <t>Блинов Осип Кирилович</t>
  </si>
  <si>
    <t>№ в переписи 1816 года: 47</t>
  </si>
  <si>
    <t>Блинов Антон Кирилович</t>
  </si>
  <si>
    <t>№ в переписи 1816 года: 48</t>
  </si>
  <si>
    <t>Блинов Федор Ларионович</t>
  </si>
  <si>
    <t>№ в переписи 1816 года: 49</t>
  </si>
  <si>
    <t>Блинов Софрон Никифорович</t>
  </si>
  <si>
    <t>№ в переписи 1816 года: 50</t>
  </si>
  <si>
    <t>Богатырев Софон Родионович</t>
  </si>
  <si>
    <t>№ в переписи 1816 года: 146</t>
  </si>
  <si>
    <t>№ в переписи 1816 года: 91</t>
  </si>
  <si>
    <t>№ в переписи 1816 года: 156</t>
  </si>
  <si>
    <t>№ в переписи 1816 года: 8</t>
  </si>
  <si>
    <t>Глубоков Захар Васильевич</t>
  </si>
  <si>
    <t>№ в переписи 1816 года: 9</t>
  </si>
  <si>
    <t>Данилов Фома Евлемтевич (?)</t>
  </si>
  <si>
    <t>№ в переписи 1816 года: 89</t>
  </si>
  <si>
    <t>Данилов Никифор Мелентьевич</t>
  </si>
  <si>
    <t>№ в переписи 1816 года: 136</t>
  </si>
  <si>
    <t>Данилов Панфил Мелентьевич</t>
  </si>
  <si>
    <t>№ в переписи 1816 года: 137</t>
  </si>
  <si>
    <t>№ в переписи 1816 года: 128</t>
  </si>
  <si>
    <t>№ в переписи 1816 года: 129</t>
  </si>
  <si>
    <t>Зобнин Агап Андреевич</t>
  </si>
  <si>
    <t>№ в переписи 1816 года: 38</t>
  </si>
  <si>
    <t>Зобнин Яков Лаврентьевич</t>
  </si>
  <si>
    <t>№ в переписи 1816 года: 39</t>
  </si>
  <si>
    <t>Зобнин Василей Лаврентьевич</t>
  </si>
  <si>
    <t>№ в переписи 1816 года: 40</t>
  </si>
  <si>
    <t>Зобнин Григорей Лаврентьевич</t>
  </si>
  <si>
    <t>№ в переписи 1816 года: 41</t>
  </si>
  <si>
    <t>№ в переписи 1816 года: 42</t>
  </si>
  <si>
    <t>Зырянов Никифор Спиридонович</t>
  </si>
  <si>
    <t>№ в переписи 1816 года: 131</t>
  </si>
  <si>
    <t>Зырянов Родион Осипович</t>
  </si>
  <si>
    <t>№ в переписи 1816 года: 133</t>
  </si>
  <si>
    <t>с. 88</t>
  </si>
  <si>
    <t>№ в переписи 1816 года: 18</t>
  </si>
  <si>
    <t>Кожевников Василей Никитич</t>
  </si>
  <si>
    <t>№ в переписи 1816 года: 19</t>
  </si>
  <si>
    <t>№ в переписи 1816 года: 31</t>
  </si>
  <si>
    <t>Комин Данило Степанович</t>
  </si>
  <si>
    <t>№ в переписи 1816 года: 110</t>
  </si>
  <si>
    <t>Комин Афонасей Семенович</t>
  </si>
  <si>
    <t>№ в переписи 1816 года: 111</t>
  </si>
  <si>
    <t>№ в переписи 1816 года: 112</t>
  </si>
  <si>
    <t>Комин Артемей Григорьевич</t>
  </si>
  <si>
    <t>№ в переписи 1816 года: 113</t>
  </si>
  <si>
    <t>Крахалев (Крохалев) Петр Архипович</t>
  </si>
  <si>
    <t>№ в переписи 1816 года: 130</t>
  </si>
  <si>
    <t>Кузнецов Дмитрей Титович</t>
  </si>
  <si>
    <t>№ в переписи 1816 года: 35</t>
  </si>
  <si>
    <t>№ в переписи 1816 года: 36</t>
  </si>
  <si>
    <t>Кузнецов Игнатей Ларионович</t>
  </si>
  <si>
    <t>№ в переписи 1816 года: 37</t>
  </si>
  <si>
    <t>№ в переписи 1816 года: 11</t>
  </si>
  <si>
    <t>Кулаков Марко Трофимович</t>
  </si>
  <si>
    <t>№ в переписи 1816 года: 12</t>
  </si>
  <si>
    <t>№ в переписи 1816 года: 28</t>
  </si>
  <si>
    <t>№ в переписи 1816 года: 29</t>
  </si>
  <si>
    <t>№ в переписи 1816 года: 61</t>
  </si>
  <si>
    <t>№ в переписи 1816 года: 87</t>
  </si>
  <si>
    <t>Макаров Иван Ларионович а не Данилович</t>
  </si>
  <si>
    <t>№ в переписи 1816 года: 88</t>
  </si>
  <si>
    <t>Макаров Лазарь Иванович</t>
  </si>
  <si>
    <t>№ в переписи 1816 года: 157</t>
  </si>
  <si>
    <t>№ в переписи 1816 года: 121</t>
  </si>
  <si>
    <t>Манойлов Иван Яковлевич</t>
  </si>
  <si>
    <t>№ в переписи 1816 года: 122</t>
  </si>
  <si>
    <t>Насонов (Носонов) Гаврила Евдокимович</t>
  </si>
  <si>
    <t>№ в переписи 1816 года: 147</t>
  </si>
  <si>
    <t>Овсянников Анофрей Степанович</t>
  </si>
  <si>
    <t>№ в переписи 1816 года: 1</t>
  </si>
  <si>
    <t>с. 4</t>
  </si>
  <si>
    <t>Овсянников Федот Филатович</t>
  </si>
  <si>
    <t>№ в переписи 1816 года: 13</t>
  </si>
  <si>
    <t>Овсянников Наум Петрович а не Федотович Овсянников</t>
  </si>
  <si>
    <t>№ в переписи 1816 года: 14</t>
  </si>
  <si>
    <t>Овсянников Григорей Арсентьевич</t>
  </si>
  <si>
    <t>№ в переписи 1816 года: 15</t>
  </si>
  <si>
    <t>Овсянников Иван Филимонович</t>
  </si>
  <si>
    <t>№ в переписи 1816 года: 16</t>
  </si>
  <si>
    <t>№ в переписи 1816 года: 17</t>
  </si>
  <si>
    <t>Овсянников Герасим Михеевич</t>
  </si>
  <si>
    <t>№ в переписи 1816 года: 158</t>
  </si>
  <si>
    <t>№ в переписи 1816 года: 95</t>
  </si>
  <si>
    <t>с. 64 (л. 32 об - 33)</t>
  </si>
  <si>
    <t>Федор Прокопьев (Прокопьевич) Окунев</t>
  </si>
  <si>
    <t>Федора Прокопьева (Прокопьевича) жена Агафья, 65 лет</t>
  </si>
  <si>
    <t>Федора Прокопьева (Прокопьевича) сын Андрей, 39 лет</t>
  </si>
  <si>
    <t>Федора Прокопьева (Прокопьевича) жена Агафья</t>
  </si>
  <si>
    <t>Андрея Федорова (Федоровича) жена Домна, 40 лет</t>
  </si>
  <si>
    <t>Федора Прокопьева (Прокопьевича) сын Андрей</t>
  </si>
  <si>
    <t>Андреевы сыновья Петр, 15 лет</t>
  </si>
  <si>
    <t>Андрея Федорова (Федоровича) жена Домна</t>
  </si>
  <si>
    <t>Осип, 8 лет было в конце 1811 года, умер в 1812.</t>
  </si>
  <si>
    <t>Андреевы сыновья Петр</t>
  </si>
  <si>
    <t>Иван, 12 лет</t>
  </si>
  <si>
    <t>Осип</t>
  </si>
  <si>
    <t>Филипп, 9 лет</t>
  </si>
  <si>
    <t>Иван</t>
  </si>
  <si>
    <t>Федора Прокопьева (Прокопьевича) второй сын Яков, 30 лет</t>
  </si>
  <si>
    <t>Филипп</t>
  </si>
  <si>
    <t>Якова Федорова (Федоровича) жена Пелагея, 30 лет</t>
  </si>
  <si>
    <t>Федора Прокопьева (Прокопьевича) второй сын Яков</t>
  </si>
  <si>
    <t>Яковлевы (Якова) сыновья Гаврила, 5 лет</t>
  </si>
  <si>
    <t>Якова Федорова (Федоровича) жена Пелагея</t>
  </si>
  <si>
    <t>Матвей 3 года</t>
  </si>
  <si>
    <t>Яковлевы (Якова) сыновья Гаврила</t>
  </si>
  <si>
    <t>Федора Прокопьева (Прокопьевича) третий сын Василей, 24 года</t>
  </si>
  <si>
    <t>Федора Прокопьева (Прокопьевича) третий сын Василей</t>
  </si>
  <si>
    <t>Василия Федорова (Федоровича) жена Дарья, 26 лет</t>
  </si>
  <si>
    <t>Василия Федорова (Федоровича) жена Дарья</t>
  </si>
  <si>
    <t>Окунев Корнило Прокопьевич, 57 лет</t>
  </si>
  <si>
    <t>Окунев Корнило Прокопьевич</t>
  </si>
  <si>
    <t>№ в переписи 1816 года: 96</t>
  </si>
  <si>
    <t>с. 66 (л. 33 об - 34)</t>
  </si>
  <si>
    <t>Корнило Прокопьев (Прокопьевич) Окунев</t>
  </si>
  <si>
    <t>Корнилы Прокопьева (Прокопьевича) жена Ефимья</t>
  </si>
  <si>
    <t>Корнилы Прокопьева (Прокопьевича) сын Афанасей, 26 лет</t>
  </si>
  <si>
    <t>Корнилы Прокопьева (Прокопьевича) сын Афанасей</t>
  </si>
  <si>
    <t>Корнилы Прокопьева (Прокопьевича) второй (сын) Трофим</t>
  </si>
  <si>
    <t>Его же (Корнилы) дочери Арина, 22 года</t>
  </si>
  <si>
    <t>Аграфена, 20 лет</t>
  </si>
  <si>
    <t>Его же (Корнилы) дочери Арина</t>
  </si>
  <si>
    <t>Марфа, 18 лет</t>
  </si>
  <si>
    <t>Аграфена</t>
  </si>
  <si>
    <t>Олга (Ольга), 15 лет</t>
  </si>
  <si>
    <t>Марфа</t>
  </si>
  <si>
    <t>Олга (Ольга)</t>
  </si>
  <si>
    <t>№ в переписи 1816 года: 97</t>
  </si>
  <si>
    <t>Евдоким Сергеев (Сергеевич) Окунев</t>
  </si>
  <si>
    <t>Евдокима Сергеева (Сергеевича) мать Федосья Иванова (Ивановна), 80</t>
  </si>
  <si>
    <t>Евдокима Сергеева (Сергеевича) жена Агафья, 35 лет</t>
  </si>
  <si>
    <t>Евдокима Сергеева (Сергеевича) мать Федосья Иванова (Ивановна)</t>
  </si>
  <si>
    <t>Евдокимовы сыновья Наум, 2 года</t>
  </si>
  <si>
    <t>Евдокима Сергеева (Сергеевича) жена Агафья</t>
  </si>
  <si>
    <t>Игнатей, 1 год</t>
  </si>
  <si>
    <t>Евдокимовы сыновья Наум</t>
  </si>
  <si>
    <t>Его же дочь Аксинья, 7 лет</t>
  </si>
  <si>
    <t>Игнатей</t>
  </si>
  <si>
    <t>Его же дочь Аксинья</t>
  </si>
  <si>
    <t>Окунев Василей Сергеевич</t>
  </si>
  <si>
    <t>№ в переписи 1816 года: 98</t>
  </si>
  <si>
    <t>с. 68 (л. 34 об)</t>
  </si>
  <si>
    <t>Василей Сергеев (Сергеевич) Окунев</t>
  </si>
  <si>
    <t>Василья Сергеева (Сергеевича жена Марья, 30 лет</t>
  </si>
  <si>
    <t>Его же дочь Евдокея, 11 лет</t>
  </si>
  <si>
    <t>Василья Сергеева (Сергеевича жена Марья</t>
  </si>
  <si>
    <t>Василья Сергеева (Сергеевича) племянник Кирило Самоилов (Самоилович), 18 лет было в конце 1811 года, рекрут с 1811.</t>
  </si>
  <si>
    <t>Его же дочь Евдокея</t>
  </si>
  <si>
    <t>Василья Сергеева (Сергеевича) племянница Елена Васильева (Васильевна) 17 лет</t>
  </si>
  <si>
    <t>Василья Сергеева (Сергеевича) племянник Кирило Самоилов (Самоилович)</t>
  </si>
  <si>
    <t>Панов Макар Степанович</t>
  </si>
  <si>
    <t>№ в переписи 1816 года: 143</t>
  </si>
  <si>
    <t>№ в переписи 1816 года: 144</t>
  </si>
  <si>
    <t>№ в переписи 1816 года: 134</t>
  </si>
  <si>
    <t>Пономарев Леонтей Козмич</t>
  </si>
  <si>
    <t>№ в переписи 1816 года: 145</t>
  </si>
  <si>
    <t>№ в переписи 1816 года: 2</t>
  </si>
  <si>
    <t>№ в переписи 1816 года: 3</t>
  </si>
  <si>
    <t>№ в переписи 1816 года: 4</t>
  </si>
  <si>
    <t>с. 6</t>
  </si>
  <si>
    <t>№ в переписи 1816 года: 5</t>
  </si>
  <si>
    <t>№ в переписи 1816 года: 6</t>
  </si>
  <si>
    <t>№ в переписи 1816 года: 7</t>
  </si>
  <si>
    <t>№ в переписи 1816 года: 152</t>
  </si>
  <si>
    <t>№ в переписи 1816 года: 161</t>
  </si>
  <si>
    <t>№ в переписи 1816 года: нет</t>
  </si>
  <si>
    <t>с. 343</t>
  </si>
  <si>
    <t xml:space="preserve">Савастьянов Федор Яковлевич </t>
  </si>
  <si>
    <t>№ в переписи 1816 года: 90</t>
  </si>
  <si>
    <t>№ в переписи 1816 года: 92</t>
  </si>
  <si>
    <t>№ в переписи 1816 года: 93</t>
  </si>
  <si>
    <t>№ в переписи 1816 года: 94</t>
  </si>
  <si>
    <t>с. 64</t>
  </si>
  <si>
    <t>Семенов Петр Иванович</t>
  </si>
  <si>
    <t>№ в переписи 1816 года: 142</t>
  </si>
  <si>
    <t>Силов Анисим Панкратьевич</t>
  </si>
  <si>
    <t>№ в переписи 1816 года: 32</t>
  </si>
  <si>
    <t>Силов Галактион Панкратьевич</t>
  </si>
  <si>
    <t>№ в переписи 1816 года: 33</t>
  </si>
  <si>
    <t>Силов Карп Андреевич</t>
  </si>
  <si>
    <t>№ в переписи 1816 года: 34</t>
  </si>
  <si>
    <t>Силов Сава (Савва) Денисович</t>
  </si>
  <si>
    <t>№ в переписи 1816 года: 67</t>
  </si>
  <si>
    <t>Силов Петр Савич (Саввич)</t>
  </si>
  <si>
    <t>№ в переписи 1816 года: 68</t>
  </si>
  <si>
    <t>Силов Петр Яковлевич</t>
  </si>
  <si>
    <t>№ в переписи 1816 года: 69</t>
  </si>
  <si>
    <t>Силов Степан Петрович</t>
  </si>
  <si>
    <t>№ в переписи 1816 года: 70</t>
  </si>
  <si>
    <t>Собакин Ларион Ильич</t>
  </si>
  <si>
    <t>Спицын Василей Дементьевич</t>
  </si>
  <si>
    <t>№ в переписи 1816 года: 114</t>
  </si>
  <si>
    <t>Спицын Алексей Дементьевич</t>
  </si>
  <si>
    <t>№ в переписи 1816 года: 115</t>
  </si>
  <si>
    <t>Спицын Максим Алексеевич</t>
  </si>
  <si>
    <t>№ в переписи 1816 года: 116</t>
  </si>
  <si>
    <t>№ в переписи 1816 года: 117</t>
  </si>
  <si>
    <t>Спицын Иван Дементьевич (малой)</t>
  </si>
  <si>
    <t>№ в переписи 1816 года: 118</t>
  </si>
  <si>
    <t>Спицын Никита Осипович</t>
  </si>
  <si>
    <t>№ в переписи 1816 года: 138</t>
  </si>
  <si>
    <t>Спицын Софон Осипович</t>
  </si>
  <si>
    <t>№ в переписи 1816 года: 139</t>
  </si>
  <si>
    <t>Спицын Сергей Софонович</t>
  </si>
  <si>
    <t>№ в переписи 1816 года: 140</t>
  </si>
  <si>
    <t>Спицын Назар Иванович</t>
  </si>
  <si>
    <t>№ в переписи 1816 года: 141</t>
  </si>
  <si>
    <t>№ в переписи 1816 года: 44</t>
  </si>
  <si>
    <t>Сырвачев Петр Петрович</t>
  </si>
  <si>
    <t>№ в переписи 1816 года: 154</t>
  </si>
  <si>
    <t>Талов Леонтей Фирсович</t>
  </si>
  <si>
    <t>№ в переписи 1816 года: 109</t>
  </si>
  <si>
    <t>№ в переписи 1816 года: 71</t>
  </si>
  <si>
    <t>Усольцов Спиридон Степанович</t>
  </si>
  <si>
    <t>№ в переписи 1816 года: 72</t>
  </si>
  <si>
    <t>Усольцов Ефим Иванович</t>
  </si>
  <si>
    <t>№ в переписи 1816 года: 73</t>
  </si>
  <si>
    <t>Усольцов Матвей Иванович</t>
  </si>
  <si>
    <t>№ в переписи 1816 года: 74</t>
  </si>
  <si>
    <t>Усольцов Захар Матвеевич</t>
  </si>
  <si>
    <t>№ в переписи 1816 года: 75</t>
  </si>
  <si>
    <t>№ в переписи 1816 года: 76</t>
  </si>
  <si>
    <t>Усольцов Афонасей Никифорович</t>
  </si>
  <si>
    <t>№ в переписи 1816 года: 77</t>
  </si>
  <si>
    <t>№ в переписи 1816 года: 78</t>
  </si>
  <si>
    <t>№ в переписи 1816 года: 79</t>
  </si>
  <si>
    <t>Усольцов Артамон Александрович</t>
  </si>
  <si>
    <t>№ в переписи 1816 года: 80</t>
  </si>
  <si>
    <t>Усольцов Тимофей Семенович</t>
  </si>
  <si>
    <t>№ в переписи 1816 года: 81</t>
  </si>
  <si>
    <t>№ в переписи 1816 года: 82</t>
  </si>
  <si>
    <t>Усольцов Козьма Герасимович</t>
  </si>
  <si>
    <t>№ в переписи 1816 года: 83</t>
  </si>
  <si>
    <t>№ в переписи 1816 года: 84</t>
  </si>
  <si>
    <t>Усольцов Нятефер (?) Сергеевич</t>
  </si>
  <si>
    <t>№ в переписи 1816 года: 85</t>
  </si>
  <si>
    <t>Усольцов Лев Артемиевич</t>
  </si>
  <si>
    <t>№ в переписи 1816 года: 86</t>
  </si>
  <si>
    <t>Уфинцов Прокопий Саватеевич</t>
  </si>
  <si>
    <t>с. 342, 343</t>
  </si>
  <si>
    <t>№ в переписи 1816 года: 10</t>
  </si>
  <si>
    <t>№ в переписи 1816 года: 148</t>
  </si>
  <si>
    <t>Уфинцов Влас Иванович</t>
  </si>
  <si>
    <t>№ в переписи 1816 года: 149</t>
  </si>
  <si>
    <t>Уфинцов Павел Власович</t>
  </si>
  <si>
    <t>№ в переписи 1816 года: 150</t>
  </si>
  <si>
    <t>Уфинцов Семен Иванович</t>
  </si>
  <si>
    <t>№ в переписи 1816 года: 151</t>
  </si>
  <si>
    <t>Хитров (Хитрых) Федор Михайлович</t>
  </si>
  <si>
    <t>№ в переписи 1816 года: 153</t>
  </si>
  <si>
    <t>Хромцов Михайло Аверьянович</t>
  </si>
  <si>
    <t>№ в переписи 1816 года: 155</t>
  </si>
  <si>
    <t>№ в переписи 1816 года: 20</t>
  </si>
  <si>
    <t>№ в переписи 1816 года: 21</t>
  </si>
  <si>
    <t>№ в переписи 1816 года: 22</t>
  </si>
  <si>
    <t>№ в переписи 1816 года: 23</t>
  </si>
  <si>
    <t>№ в переписи 1816 года: 24</t>
  </si>
  <si>
    <t>№ в переписи 1816 года: 25</t>
  </si>
  <si>
    <t>№ в переписи 1816 года: 26</t>
  </si>
  <si>
    <t>№ в переписи 1816 года: 27</t>
  </si>
  <si>
    <t>№ в переписи 1816 года: 160</t>
  </si>
  <si>
    <t>Шермин Степан Родионович</t>
  </si>
  <si>
    <t>№ в переписи 1816 года: 51</t>
  </si>
  <si>
    <t>Шермин Василей Родионович</t>
  </si>
  <si>
    <t>№ в переписи 1816 года: 52</t>
  </si>
  <si>
    <t>№ в переписи 1816 года: 99</t>
  </si>
  <si>
    <t>№ в переписи 1816 года: 100</t>
  </si>
  <si>
    <t>№ в переписи 1816 года: 101</t>
  </si>
  <si>
    <t>№ в переписи 1816 года: 102</t>
  </si>
  <si>
    <t>№ в переписи 1816 года: 103</t>
  </si>
  <si>
    <t>№ в переписи 1816 года: 104</t>
  </si>
  <si>
    <t>№ в переписи 1816 года: 105</t>
  </si>
  <si>
    <t>№ в переписи 1816 года: 106</t>
  </si>
  <si>
    <t>№ в переписи 1816 года: 107</t>
  </si>
  <si>
    <t>Шехирев (Шехарев) Перфилей Фадеевич</t>
  </si>
  <si>
    <t>№ в переписи 1816 года: 108</t>
  </si>
  <si>
    <t>Шунайлов Алексей Степанович</t>
  </si>
  <si>
    <t>№ в переписи 1816 года: 135</t>
  </si>
  <si>
    <t>№ в переписи 1816 года: 159</t>
  </si>
  <si>
    <t>Южаков Иван Антипьевич</t>
  </si>
  <si>
    <t>№ в переписи 1816 года: 30</t>
  </si>
  <si>
    <t>№ в переписи 1816 года: 119</t>
  </si>
  <si>
    <t>№ в переписи 1816 года: 120</t>
  </si>
  <si>
    <t>1812</t>
  </si>
  <si>
    <t>1816</t>
  </si>
  <si>
    <t>1812.</t>
  </si>
  <si>
    <t>1813</t>
  </si>
  <si>
    <t>1811.</t>
  </si>
  <si>
    <t>Воз-т на момент переписи или предыдущей</t>
  </si>
  <si>
    <t>сын Ефима</t>
  </si>
  <si>
    <t>брат Ефима. Рекрут 1812</t>
  </si>
  <si>
    <t>брат Ефима</t>
  </si>
  <si>
    <t>Рекрут 1812</t>
  </si>
  <si>
    <t>мать Ефима</t>
  </si>
  <si>
    <t>жена Ефима</t>
  </si>
  <si>
    <t>дочь Ефима</t>
  </si>
  <si>
    <t>сестра Ефима</t>
  </si>
  <si>
    <t>3/03/1881</t>
  </si>
  <si>
    <t>4/03/1881</t>
  </si>
  <si>
    <t>488а 004</t>
  </si>
  <si>
    <t>02/02/1881</t>
  </si>
  <si>
    <t>Глубокова Анна Абрамовна</t>
  </si>
  <si>
    <t>Глубоков Абрам</t>
  </si>
  <si>
    <t>Кузнецов Степан Петрович</t>
  </si>
  <si>
    <t>Силов Даниил Са?</t>
  </si>
  <si>
    <t>Киселев Иван Фомич</t>
  </si>
  <si>
    <t>535а 006</t>
  </si>
  <si>
    <t>до 535а 005</t>
  </si>
  <si>
    <t>Усольцев Георгий Михайлович</t>
  </si>
  <si>
    <t>Усольцев Федор Алексеевич</t>
  </si>
  <si>
    <t>Усольцев Александр Васильевич</t>
  </si>
  <si>
    <t>Усольцев Семен Федорович</t>
  </si>
  <si>
    <t>082а 001</t>
  </si>
  <si>
    <t>№ в переписи</t>
  </si>
  <si>
    <t>жена Егора</t>
  </si>
  <si>
    <t>дочь Егора</t>
  </si>
  <si>
    <t>сестра Егора</t>
  </si>
  <si>
    <t>сестра Егора ?</t>
  </si>
  <si>
    <t>Кокорин Федор Константинович</t>
  </si>
  <si>
    <t>первый</t>
  </si>
  <si>
    <t>Заманишенская дер.</t>
  </si>
  <si>
    <t>Кокорин Михаил Константинович</t>
  </si>
  <si>
    <t>? Контантинович Кокорин</t>
  </si>
  <si>
    <t>85а 001</t>
  </si>
  <si>
    <t>Девятова Екатерина Степановна</t>
  </si>
  <si>
    <t>Девятов Степан Петрович</t>
  </si>
  <si>
    <t>Уфимцев Степан Васильевич</t>
  </si>
  <si>
    <t>Девятов Василий Андреевич</t>
  </si>
  <si>
    <t>Девятов Алексей Андреевич</t>
  </si>
  <si>
    <t>092а 000</t>
  </si>
  <si>
    <t>состоит в запасе армии</t>
  </si>
  <si>
    <t>Макаров Яков Дмитриевич</t>
  </si>
  <si>
    <t>Спицын Василий Максимович</t>
  </si>
  <si>
    <t>098а 003</t>
  </si>
  <si>
    <t>Новокрещенов Василий Дмитриевич</t>
  </si>
  <si>
    <t>Курбатов Павел Симу?</t>
  </si>
  <si>
    <t>Новокрещенов Яков Григорьевич</t>
  </si>
  <si>
    <t>Окунев Тимофей Яковлевич</t>
  </si>
  <si>
    <t>Пиминов Алексей Михайлович</t>
  </si>
  <si>
    <t>100а 003</t>
  </si>
  <si>
    <t>полностью</t>
  </si>
  <si>
    <t>108а 002</t>
  </si>
  <si>
    <t>от родимца</t>
  </si>
  <si>
    <t>112а 003</t>
  </si>
  <si>
    <t>Окунев Трофим Карнилович</t>
  </si>
  <si>
    <t>Данилова Елизавета Гавриловна</t>
  </si>
  <si>
    <t>Данилов Гавриил Георгиевич</t>
  </si>
  <si>
    <t>195 браки 003</t>
  </si>
  <si>
    <t>23/01/1882</t>
  </si>
  <si>
    <t>24/01/1882</t>
  </si>
  <si>
    <t>006а 003</t>
  </si>
  <si>
    <t>Алабуга село</t>
  </si>
  <si>
    <t>Савастьянов Матвей Васильевич</t>
  </si>
  <si>
    <t>Савастьянов Семен Васильевич</t>
  </si>
  <si>
    <t>Просфиршин Феадоров</t>
  </si>
  <si>
    <t>Просфиршина Устина Феадоровна</t>
  </si>
  <si>
    <t>Просфиршин Феадор?</t>
  </si>
  <si>
    <t>Девятов Иван Степанович</t>
  </si>
  <si>
    <t>Девятов Степан</t>
  </si>
  <si>
    <t>Девятов Андрей Степанович</t>
  </si>
  <si>
    <t>Киселев Иван Павлович</t>
  </si>
  <si>
    <t>485а 000</t>
  </si>
  <si>
    <t>Кулаков Афанасий Павлович</t>
  </si>
  <si>
    <t>Кулаков Дмитрий Афанасьевич</t>
  </si>
  <si>
    <t>488а 001</t>
  </si>
  <si>
    <t>489а 000</t>
  </si>
  <si>
    <t>Пирогова Екатерина Степановна</t>
  </si>
  <si>
    <t>Киселев Алек? Иванович</t>
  </si>
  <si>
    <t>Задарина Мария Васильевна</t>
  </si>
  <si>
    <t>Силов Андрей Данилович</t>
  </si>
  <si>
    <t>Песчано-каледино село</t>
  </si>
  <si>
    <t>Егоров Кирилл И?</t>
  </si>
  <si>
    <t>? Яков Алексеевич</t>
  </si>
  <si>
    <t>491а 006</t>
  </si>
  <si>
    <t>Овсянников ? Иосифович</t>
  </si>
  <si>
    <t>Овсянников Иосиф</t>
  </si>
  <si>
    <t>Савастьянов Спиридон Михайлович</t>
  </si>
  <si>
    <t>Овсянников Георгий Иосифович</t>
  </si>
  <si>
    <t>Усольцев Владимир Михайлович</t>
  </si>
  <si>
    <t>Девятов Михаил Яковлевич</t>
  </si>
  <si>
    <t>Девятов Иван Яковлевич</t>
  </si>
  <si>
    <t>Блинов Георгий Кириллович</t>
  </si>
  <si>
    <t>501а 003</t>
  </si>
  <si>
    <t>Старикова Минодора Васильевна</t>
  </si>
  <si>
    <t>503а 003</t>
  </si>
  <si>
    <t>третьим</t>
  </si>
  <si>
    <t>Тришнин Петр Николаевич</t>
  </si>
  <si>
    <t>Василий умер</t>
  </si>
  <si>
    <t>Кузнецова Агриппина Георгиевна</t>
  </si>
  <si>
    <t>Блинина Агриппина В*</t>
  </si>
  <si>
    <t>Трофимов Иван Николаевич</t>
  </si>
  <si>
    <t>Трофимов Иосиф Алексеевич</t>
  </si>
  <si>
    <t>отсутствуют записи об умерших за январь</t>
  </si>
  <si>
    <t>Год рож-ния проверен в МК?</t>
  </si>
  <si>
    <t>509а 001</t>
  </si>
  <si>
    <t>6 мес</t>
  </si>
  <si>
    <t>рядовой в запасе</t>
  </si>
  <si>
    <t>Колотинова ? Сергеевна</t>
  </si>
  <si>
    <t>Кретчикова дер.</t>
  </si>
  <si>
    <t>Созыкин Георгий Тимофеев</t>
  </si>
  <si>
    <t>072 янв 001</t>
  </si>
  <si>
    <t>Па? Анна Андреевна</t>
  </si>
  <si>
    <t>Ефимпова дер.</t>
  </si>
  <si>
    <t>Сырин Николай Власович</t>
  </si>
  <si>
    <t>Парамонов Григорий Георгиевич</t>
  </si>
  <si>
    <t>077а 000</t>
  </si>
  <si>
    <t>Баран? Василий Николаевич</t>
  </si>
  <si>
    <t>Флоров Федор Семенович</t>
  </si>
  <si>
    <t>079а 001</t>
  </si>
  <si>
    <t>Сверчков Николай Николаевич</t>
  </si>
  <si>
    <t>Опи? Семен Терентьевич</t>
  </si>
  <si>
    <t>Пиминов Григорий Николаевич</t>
  </si>
  <si>
    <t>Савастьянов Григорий Васильевич</t>
  </si>
  <si>
    <t>Согрина Анна Гавриловна</t>
  </si>
  <si>
    <t>Вдовин Иван Георгиевич</t>
  </si>
  <si>
    <t>080а 000</t>
  </si>
  <si>
    <t>Зырянов Иван Михайлович</t>
  </si>
  <si>
    <t>Кузнецов Иван Ф?</t>
  </si>
  <si>
    <t>Горбунов Иван Иванович</t>
  </si>
  <si>
    <t>081 фев 000</t>
  </si>
  <si>
    <t>Усольцев Иван Николаевич</t>
  </si>
  <si>
    <t>083а 000</t>
  </si>
  <si>
    <t>Уфимцева Пелагея Александровна</t>
  </si>
  <si>
    <t>Суханов Александр Иванович</t>
  </si>
  <si>
    <t>086а 001</t>
  </si>
  <si>
    <t>Горбунов Георгий Иванович</t>
  </si>
  <si>
    <t>Горбунов Ефим Федор</t>
  </si>
  <si>
    <t>Горбунов Федор Симеонов</t>
  </si>
  <si>
    <t>Пименов Иван Никифорович</t>
  </si>
  <si>
    <t>Пименов Алексей Михайлович</t>
  </si>
  <si>
    <t>Пименов Онуфрий ?</t>
  </si>
  <si>
    <t>093окт</t>
  </si>
  <si>
    <t>К? Ефдокия Федоровна</t>
  </si>
  <si>
    <t>Теченская дер.</t>
  </si>
  <si>
    <t>Комин Александр ?</t>
  </si>
  <si>
    <t>Макаров Петр Иосифович</t>
  </si>
  <si>
    <t>093окт 001</t>
  </si>
  <si>
    <t>Уфимцев Павел Захарович</t>
  </si>
  <si>
    <t>Чеканина Ольга Дмитриевна</t>
  </si>
  <si>
    <t>Чеканин Сергей Дмитриевич</t>
  </si>
  <si>
    <t>Чеканин Иван Петрович</t>
  </si>
  <si>
    <t>094 нояа 000</t>
  </si>
  <si>
    <t>отец - отставной рядовой</t>
  </si>
  <si>
    <t>Стариков Николай Андреевич</t>
  </si>
  <si>
    <t>Пиминов Алексей Федорович</t>
  </si>
  <si>
    <t>334а 001</t>
  </si>
  <si>
    <t>второй</t>
  </si>
  <si>
    <t>Глубаков Адриан Игнатьевич</t>
  </si>
  <si>
    <t>340а 001</t>
  </si>
  <si>
    <t>Тамилова Анна Никифоровна</t>
  </si>
  <si>
    <t>Пашнин Всеволод Л?</t>
  </si>
  <si>
    <t>Бабин Григорий Андреевич</t>
  </si>
  <si>
    <t>Шермин Яков Григорьевич</t>
  </si>
  <si>
    <t>341а 003</t>
  </si>
  <si>
    <t>? Михаил Ефимович</t>
  </si>
  <si>
    <t>342а 007</t>
  </si>
  <si>
    <t>Пиминова Параскева Максимовна</t>
  </si>
  <si>
    <t>Пиминов Максим Меркуриевич</t>
  </si>
  <si>
    <t>Окунев Петр Ильич</t>
  </si>
  <si>
    <t>343а 001</t>
  </si>
  <si>
    <t>Лысьева Параскева Митрофеевна</t>
  </si>
  <si>
    <t>Каменноозерское село</t>
  </si>
  <si>
    <t>Савастьянов Василий Васильевич</t>
  </si>
  <si>
    <t>Собакин Петр Иосифович</t>
  </si>
  <si>
    <t>Лысьев Иосиф Петров</t>
  </si>
  <si>
    <t>345а 003</t>
  </si>
  <si>
    <t>Сырвачева Наталия Васильевна</t>
  </si>
  <si>
    <t>Сырвачев Василий Степанович</t>
  </si>
  <si>
    <t>Глубаков Адриан Яковлевич</t>
  </si>
  <si>
    <t>Синицын Иван Николаевич</t>
  </si>
  <si>
    <t>Сырвачев Иван Васильевич</t>
  </si>
  <si>
    <t>352а 001</t>
  </si>
  <si>
    <t>357а 002</t>
  </si>
  <si>
    <t>отсутствует лист за январь</t>
  </si>
  <si>
    <t>184а 000</t>
  </si>
  <si>
    <t>Быстрый поиск Шер. Петр, Олимпиада - без результата</t>
  </si>
  <si>
    <t>3/01/1883</t>
  </si>
  <si>
    <t>1/01/1883</t>
  </si>
  <si>
    <t>бессрочно отпускной рядовой Прусского полка, 3 гвардейской дивизии</t>
  </si>
  <si>
    <t>Ог? дер</t>
  </si>
  <si>
    <t>О? Василий Федорович</t>
  </si>
  <si>
    <t>Кузнецова Наталия Алексеевна</t>
  </si>
  <si>
    <t>жена Кузнецова Георгия</t>
  </si>
  <si>
    <t>7/01/1883</t>
  </si>
  <si>
    <t>8/01/1883</t>
  </si>
  <si>
    <t>Ан?</t>
  </si>
  <si>
    <t>Соснина Надежда Сергеевна</t>
  </si>
  <si>
    <t>121а 003</t>
  </si>
  <si>
    <t>9/01/1883</t>
  </si>
  <si>
    <t>11/01/1883</t>
  </si>
  <si>
    <t>Быстрый поиск родителей Шерст Петра без результата</t>
  </si>
  <si>
    <t>193а 001</t>
  </si>
  <si>
    <t>13/01/1883</t>
  </si>
  <si>
    <t>9,5 мес</t>
  </si>
  <si>
    <t>неопр. Умер в 1883</t>
  </si>
  <si>
    <t>193а 003</t>
  </si>
  <si>
    <t>17/01/1883</t>
  </si>
  <si>
    <t>19/01/1883</t>
  </si>
  <si>
    <t>от оспы</t>
  </si>
  <si>
    <t>14/05/1882</t>
  </si>
  <si>
    <t>17/05/1882</t>
  </si>
  <si>
    <t>неоп. Умер 1883</t>
  </si>
  <si>
    <t>028а 000</t>
  </si>
  <si>
    <t>12/06/1882</t>
  </si>
  <si>
    <t>14/06/1882</t>
  </si>
  <si>
    <t>Бабина Мария Семеновна</t>
  </si>
  <si>
    <t>032а 003</t>
  </si>
  <si>
    <t>035а 001 - ошибка. Быстрый поиск Марии Ильиничны, Шерст Петра</t>
  </si>
  <si>
    <t>25/07/1884</t>
  </si>
  <si>
    <t>26/07/1884</t>
  </si>
  <si>
    <t>солдатская жена, вдова</t>
  </si>
  <si>
    <t>Добрынина Ксения Егоровна</t>
  </si>
  <si>
    <t>жена Добрынина Николая</t>
  </si>
  <si>
    <t>272а 005</t>
  </si>
  <si>
    <t>Быстрый поиск Олимпиады - найдено</t>
  </si>
  <si>
    <t>разница в возрасте</t>
  </si>
  <si>
    <r>
      <t xml:space="preserve">Возможно это отец Василия Шерстовитова отца Якима. В этом случае Яким 1834 г.р., а его </t>
    </r>
    <r>
      <rPr>
        <b/>
        <sz val="11"/>
        <color theme="1"/>
        <rFont val="Calibri"/>
        <family val="2"/>
        <charset val="204"/>
        <scheme val="minor"/>
      </rPr>
      <t>первая жена Анна,</t>
    </r>
    <r>
      <rPr>
        <sz val="11"/>
        <color theme="1"/>
        <rFont val="Calibri"/>
        <family val="2"/>
        <charset val="204"/>
        <scheme val="minor"/>
      </rPr>
      <t xml:space="preserve"> потом будет Параскева</t>
    </r>
  </si>
  <si>
    <t>Савастьянов Кирилл</t>
  </si>
  <si>
    <t>Савастьянова Дарья</t>
  </si>
  <si>
    <t>солдатка</t>
  </si>
  <si>
    <t>Савастьянов Матвей Матвеевич</t>
  </si>
  <si>
    <t>Бабин Григорий Осипович</t>
  </si>
  <si>
    <t>Бабин Михаил Степанович</t>
  </si>
  <si>
    <t>Манайлов Максим Меркурьевич</t>
  </si>
  <si>
    <t>66 браки 005</t>
  </si>
  <si>
    <t>22/01/1882</t>
  </si>
  <si>
    <t>Пирогов Терентий Иванович</t>
  </si>
  <si>
    <t>Пирогов Тихон Иванович</t>
  </si>
  <si>
    <t>Пирогов Ф? Иванович</t>
  </si>
  <si>
    <t>Пирогов Степан Иванович</t>
  </si>
  <si>
    <t>067а 003</t>
  </si>
  <si>
    <t>27/01/1882</t>
  </si>
  <si>
    <t>Новокрещенова Наталья Васильевна</t>
  </si>
  <si>
    <t>Новокрещенов Василий</t>
  </si>
  <si>
    <t>Кузнецов Филлип Петрович</t>
  </si>
  <si>
    <t>Новокрещенов Федор Васильевич</t>
  </si>
  <si>
    <t>Лебедев Иван Т?</t>
  </si>
  <si>
    <t>069а</t>
  </si>
  <si>
    <t>Горбунова Александра Семеновна</t>
  </si>
  <si>
    <t>Горбунов Семен</t>
  </si>
  <si>
    <t>дочь умершего</t>
  </si>
  <si>
    <t>Силов Василий Федорович</t>
  </si>
  <si>
    <t>Горбунов Федор Семенович старший</t>
  </si>
  <si>
    <t>Горбунов Федор Семенович младший</t>
  </si>
  <si>
    <t>069а 005</t>
  </si>
  <si>
    <t>Терекульская дер.</t>
  </si>
  <si>
    <t>Колыванов Андрей Емельянович</t>
  </si>
  <si>
    <t>Колыванов Кузьма Емельянович</t>
  </si>
  <si>
    <t>Колыванов Владимир Емельянович</t>
  </si>
  <si>
    <t>Колыванов Анндрей Петрович</t>
  </si>
  <si>
    <t>Спицын Николай Парфенов</t>
  </si>
  <si>
    <t>069а 007</t>
  </si>
  <si>
    <t>Кокорин Михаил Сисипатрович</t>
  </si>
  <si>
    <t>Кокорин Сосипатр</t>
  </si>
  <si>
    <t>Камин Иван Евдокимович</t>
  </si>
  <si>
    <t>Синицын Евдоким Михайлович</t>
  </si>
  <si>
    <t>Киселев Василий Артамонович</t>
  </si>
  <si>
    <t>Киселев Павел Тимофеевич</t>
  </si>
  <si>
    <t>070а 003</t>
  </si>
  <si>
    <t>Чеканина Дарья Васильевна</t>
  </si>
  <si>
    <t>Чеканин Василий</t>
  </si>
  <si>
    <t>Чеканин Георгий Петр</t>
  </si>
  <si>
    <t>070а 007</t>
  </si>
  <si>
    <t>18/04/1882</t>
  </si>
  <si>
    <t>Новокрещенова Афанасия Александровна</t>
  </si>
  <si>
    <t>Новокрещенов Александр</t>
  </si>
  <si>
    <t>унтер-офицер</t>
  </si>
  <si>
    <t>Новокрещенов Иван Александрович</t>
  </si>
  <si>
    <t>Безбородов Петр Григорьевич</t>
  </si>
  <si>
    <t>071а 003</t>
  </si>
  <si>
    <t>26/04/1882</t>
  </si>
  <si>
    <t>Спицын Иван Григорьевич</t>
  </si>
  <si>
    <t>Спицын Петр Григорьевич</t>
  </si>
  <si>
    <t>Спицын Косьма Трофимович</t>
  </si>
  <si>
    <t>Пашнин Лаврентий Егорович</t>
  </si>
  <si>
    <t>071а 005</t>
  </si>
  <si>
    <t>2/05/1882</t>
  </si>
  <si>
    <t>умерший. Поступил на военную службу</t>
  </si>
  <si>
    <t>Окунева Гликерия Никифоровна</t>
  </si>
  <si>
    <t>Окунев Никифор</t>
  </si>
  <si>
    <t>Окунев Дмитрий Степанович</t>
  </si>
  <si>
    <t>Шермин Кирилл Яковлевич</t>
  </si>
  <si>
    <t>Окунев Самсон Трофимович</t>
  </si>
  <si>
    <t>072а 003</t>
  </si>
  <si>
    <t>21/05/1882</t>
  </si>
  <si>
    <t>Савастьянов Дмитрий Васильевич</t>
  </si>
  <si>
    <t>Савастьянов Михаил Васильевич</t>
  </si>
  <si>
    <t>Новокрещенов Василий Сафронович</t>
  </si>
  <si>
    <t>Зайков Василий Яковлевич</t>
  </si>
  <si>
    <t>9/07/1882</t>
  </si>
  <si>
    <t>Синицын Петр Евдокимович</t>
  </si>
  <si>
    <t>Синицын Евдоким</t>
  </si>
  <si>
    <t>Синицын Андрей Петрович</t>
  </si>
  <si>
    <t>Синицын Федор Михайлович</t>
  </si>
  <si>
    <t>073а 003</t>
  </si>
  <si>
    <t>18/07/1882</t>
  </si>
  <si>
    <t>отец - сослан в Сибирь</t>
  </si>
  <si>
    <t>Богатырева Наталья Петровна</t>
  </si>
  <si>
    <t>Богатырев Петр</t>
  </si>
  <si>
    <t>Блинов Кирилл Кириллович</t>
  </si>
  <si>
    <t>Макаров Андрей Кириллович</t>
  </si>
  <si>
    <t>Богатырев Федор Петрович</t>
  </si>
  <si>
    <t>Богатырев Самуил Сав?</t>
  </si>
  <si>
    <t>074а 005</t>
  </si>
  <si>
    <t>29/07/1882</t>
  </si>
  <si>
    <t>Уфимцев Михаил</t>
  </si>
  <si>
    <t>Уфимцев Иван Гаврилович</t>
  </si>
  <si>
    <t>Уфимцев Яков Иванович</t>
  </si>
  <si>
    <t>074а 007</t>
  </si>
  <si>
    <t>1/11/1882</t>
  </si>
  <si>
    <t>Сверчков Николай Силеверстов</t>
  </si>
  <si>
    <t>Савастьянов Семен Емельянов</t>
  </si>
  <si>
    <t>Савастьянов Федор Сергеевич</t>
  </si>
  <si>
    <t>075а 005</t>
  </si>
  <si>
    <t>Калыванов Яков Андреевич</t>
  </si>
  <si>
    <t>Калыванов Андрей</t>
  </si>
  <si>
    <t>Калыванов Степан Петрович</t>
  </si>
  <si>
    <t>Тропин Андрей Васильевич</t>
  </si>
  <si>
    <t>До 075а 005</t>
  </si>
  <si>
    <r>
      <rPr>
        <b/>
        <sz val="11"/>
        <color theme="1"/>
        <rFont val="Calibri"/>
        <family val="2"/>
        <charset val="204"/>
        <scheme val="minor"/>
      </rPr>
      <t>Жирным</t>
    </r>
    <r>
      <rPr>
        <sz val="11"/>
        <color theme="1"/>
        <rFont val="Calibri"/>
        <family val="2"/>
        <charset val="204"/>
        <scheme val="minor"/>
      </rPr>
      <t xml:space="preserve"> выделяется прямая линия</t>
    </r>
  </si>
  <si>
    <t>Быстрый поиск БББ Гавриил Иванович - найден</t>
  </si>
  <si>
    <t>Быстрый поиск по родившимся БББу Василию - найден. Остальные фамилии не выписывались</t>
  </si>
  <si>
    <t>Быстрый поиск по родившимся не дал результат по БББу Василию.</t>
  </si>
  <si>
    <t>195 браки 003, дальнейший быстрый поиск БББа Василия не дал результата</t>
  </si>
  <si>
    <t>БББ Егор</t>
  </si>
  <si>
    <t>БББ * Федорович</t>
  </si>
  <si>
    <t>БББ Прокопий Матвеевич</t>
  </si>
  <si>
    <t>БББ Матвей Игнатьевич</t>
  </si>
  <si>
    <t>БББа Анастасия Кузьмина</t>
  </si>
  <si>
    <t>БББ Николай Петрович</t>
  </si>
  <si>
    <t>БББ Петр Гаврилович</t>
  </si>
  <si>
    <t>БББа Варвара Егоровна</t>
  </si>
  <si>
    <t>БББа Афанасия Ивановна</t>
  </si>
  <si>
    <t>БББ Иван Трофимович</t>
  </si>
  <si>
    <t>БББа Пелагея Михайловна</t>
  </si>
  <si>
    <t>БББа Епистима Фоминична</t>
  </si>
  <si>
    <t>БББа Анна Федоровна</t>
  </si>
  <si>
    <t>БББ Георгий Федорович</t>
  </si>
  <si>
    <t>БББ Федор Васильевич</t>
  </si>
  <si>
    <t>БББ Филипп</t>
  </si>
  <si>
    <t>БББ Федор Семенович</t>
  </si>
  <si>
    <t>БББ Семен Романович</t>
  </si>
  <si>
    <t>БББа Екатерина Дмитриевна</t>
  </si>
  <si>
    <t>солдатка Анастасия Романовна БББа</t>
  </si>
  <si>
    <t>Жена отставного рядового Ивана БББа Мария Андреевна</t>
  </si>
  <si>
    <t>БББа Александра Алексеевна</t>
  </si>
  <si>
    <t>БББ Алексей Михайлович</t>
  </si>
  <si>
    <t>БББа Евдокия Захаровна</t>
  </si>
  <si>
    <t>Дочь Сергея БББа девица Агафья</t>
  </si>
  <si>
    <t>БББа Александра Ивановна</t>
  </si>
  <si>
    <t>БББ Иван Романович</t>
  </si>
  <si>
    <t>БББа Агриппина Захаровна</t>
  </si>
  <si>
    <t>БББа Наталья Васильевна</t>
  </si>
  <si>
    <t>БББ Василий Стефанович</t>
  </si>
  <si>
    <t>БББа Мария Ильинична</t>
  </si>
  <si>
    <t>БББ Яков Прокопьевич</t>
  </si>
  <si>
    <t>БББа Матрона Яковлевна</t>
  </si>
  <si>
    <t>БББа Ирина Ивановна</t>
  </si>
  <si>
    <t>БББ Андрей Федорович</t>
  </si>
  <si>
    <t>БББ Евдоким Сергеевич</t>
  </si>
  <si>
    <t>БББа Мария Ефимовна</t>
  </si>
  <si>
    <t>БББа Марина Ивановна</t>
  </si>
  <si>
    <t>БББ Иван Михайлович</t>
  </si>
  <si>
    <t>БББа Мария Капитоновна</t>
  </si>
  <si>
    <t>БББ Андрей Васильевич</t>
  </si>
  <si>
    <t>БББа Наталья Ивановна</t>
  </si>
  <si>
    <t>БББа Наталья Федоровна</t>
  </si>
  <si>
    <t>БББ Федор Петрович</t>
  </si>
  <si>
    <t>БББ Александр Пертрович</t>
  </si>
  <si>
    <t>БББ Петр Федорович</t>
  </si>
  <si>
    <t>БББа Ирина Степановна</t>
  </si>
  <si>
    <t>БББ Иван Петрович</t>
  </si>
  <si>
    <t>БББа Наталия Федоровна</t>
  </si>
  <si>
    <t>БББа Прасковья Александровна</t>
  </si>
  <si>
    <t>БББа Федосья Сергеевна</t>
  </si>
  <si>
    <t>БББа Анна Петровна</t>
  </si>
  <si>
    <t>БББ Михаил Георгиевич</t>
  </si>
  <si>
    <t>БББ Павел Матвеевич</t>
  </si>
  <si>
    <t>БББ Матвей Васильевич</t>
  </si>
  <si>
    <t>БББа Ксения Захаровна</t>
  </si>
  <si>
    <t>БББа Екатерина Григорьевна</t>
  </si>
  <si>
    <t>БББ Григорий Сергеевич</t>
  </si>
  <si>
    <t>БББа А? Ник?</t>
  </si>
  <si>
    <t>БББа Анна Гавриловна</t>
  </si>
  <si>
    <t>БББ Гавриил Михайлович</t>
  </si>
  <si>
    <t>БББа Агриппина Георгиевна</t>
  </si>
  <si>
    <t>БББ Агриппина Георгиевна</t>
  </si>
  <si>
    <t>БББа Анастасия Михайловна</t>
  </si>
  <si>
    <t>БББ Михаил Григорьевич</t>
  </si>
  <si>
    <t>БББа Пелагея Григорьевна</t>
  </si>
  <si>
    <t>БББа Мария Гавриловна</t>
  </si>
  <si>
    <t>БББ Федор Гаврилович</t>
  </si>
  <si>
    <t>БББ Георгий Алексеевич</t>
  </si>
  <si>
    <t>БББ Семен Павлович</t>
  </si>
  <si>
    <t>БББ Павел Михайлович</t>
  </si>
  <si>
    <t>БББа ? Михайловна</t>
  </si>
  <si>
    <t>БББа Александра Яковлевна</t>
  </si>
  <si>
    <t>БББа Пелагея Яковлевна</t>
  </si>
  <si>
    <t>БББ Николай Алексадрович</t>
  </si>
  <si>
    <t>БББ Александр Якимович</t>
  </si>
  <si>
    <t>БББа Екатерина ?</t>
  </si>
  <si>
    <t>БББ Александр Стефанович</t>
  </si>
  <si>
    <t>БББ Георгий Васильевич</t>
  </si>
  <si>
    <t>БББ Петр Якимович</t>
  </si>
  <si>
    <t>БББ Яким Якимович</t>
  </si>
  <si>
    <t xml:space="preserve">БББа * Якимовна </t>
  </si>
  <si>
    <t>БББа Евдокия Михайловна</t>
  </si>
  <si>
    <t>БББ Михаил Трофимович</t>
  </si>
  <si>
    <t>БББа Фекла Андреевна</t>
  </si>
  <si>
    <t>БББ Гавриил Васильевич</t>
  </si>
  <si>
    <t>БББ Василий Иванович</t>
  </si>
  <si>
    <t>БББа Александра Федоровна</t>
  </si>
  <si>
    <t>БББа Матрона Ивановна</t>
  </si>
  <si>
    <t>БББа Наталья Трофимовна</t>
  </si>
  <si>
    <t>БББ Василий Степанович</t>
  </si>
  <si>
    <t>БББ Степан Филиппович</t>
  </si>
  <si>
    <t>БББа Евдокия Матвеевна</t>
  </si>
  <si>
    <t>БББ Гавриил Иванович</t>
  </si>
  <si>
    <t>БББ Иван Григорьевич</t>
  </si>
  <si>
    <t>БББа Агриппина Сергеевна</t>
  </si>
  <si>
    <t>БББа Феодора Григорьевна</t>
  </si>
  <si>
    <t>БББа Мария Степановна</t>
  </si>
  <si>
    <t>БББа Евфросиния Филипповна</t>
  </si>
  <si>
    <t>БББа Татьяна Васильевна</t>
  </si>
  <si>
    <t>БББ Василий Трофимович</t>
  </si>
  <si>
    <t>БББа Евфалия Афанасьевна</t>
  </si>
  <si>
    <t>БББа Параскева Семеновна</t>
  </si>
  <si>
    <t>жена БББа Филиппа</t>
  </si>
  <si>
    <t>БББ Петр Михайлович</t>
  </si>
  <si>
    <t>БББ Филипп Лаврентьевич</t>
  </si>
  <si>
    <t>БББа Елена Алексеевна</t>
  </si>
  <si>
    <t>БББ Василий Михайлович</t>
  </si>
  <si>
    <t>БББа Елизавета Семеновна</t>
  </si>
  <si>
    <t>БББ Семен Федорович</t>
  </si>
  <si>
    <t>БББ Николай Семенович</t>
  </si>
  <si>
    <t>БББ Иосиф Семенович</t>
  </si>
  <si>
    <t>БББ Николай Сергеевич</t>
  </si>
  <si>
    <t>БББ Сергей</t>
  </si>
  <si>
    <t>БББ Ефим Яковлевич</t>
  </si>
  <si>
    <t>БББ Федор</t>
  </si>
  <si>
    <t>БББ Василий Яковлевич</t>
  </si>
  <si>
    <t>БББ Петр Федорович - бомбардир в запасе, БББ Василий Яковлевич - отставной рядовой</t>
  </si>
  <si>
    <t>БББ Федор Прокопьевич</t>
  </si>
  <si>
    <t>БББ Прокопий</t>
  </si>
  <si>
    <t>БББ Иван Захарович</t>
  </si>
  <si>
    <t>БББа Мария Прокопьевна</t>
  </si>
  <si>
    <t>БББ Прокопий Захарович</t>
  </si>
  <si>
    <t>БББ Яков</t>
  </si>
  <si>
    <t>БББ Петр Федорович - бомбардир в запасе</t>
  </si>
  <si>
    <t>БББа Агриппина Васильевна</t>
  </si>
  <si>
    <t>БББа Александра Михайловна</t>
  </si>
  <si>
    <t>БББ Григорий Михайлович</t>
  </si>
  <si>
    <t>БББ Иван Иванович</t>
  </si>
  <si>
    <t>БББ Петр Васильевич</t>
  </si>
  <si>
    <t>БББ Василий</t>
  </si>
  <si>
    <t>БББ Андрей Андреевич</t>
  </si>
  <si>
    <t>БББ Алексей</t>
  </si>
  <si>
    <t>БББа Мария Васильевна</t>
  </si>
  <si>
    <t>БББ Гавриил Иванович - отставной рядовой</t>
  </si>
  <si>
    <t>БББ Михаил Федорович</t>
  </si>
  <si>
    <t>БББ Иван Сергеевич</t>
  </si>
  <si>
    <t>БББ Павел Степанович</t>
  </si>
  <si>
    <t>БББа Федор Петрович</t>
  </si>
  <si>
    <t>БББ Петр</t>
  </si>
  <si>
    <t>БББ Сергей Яковлевич</t>
  </si>
  <si>
    <t>БББа Параскева Ивановна</t>
  </si>
  <si>
    <t>БББ Иван</t>
  </si>
  <si>
    <t>большая вероятность - БББ Иван</t>
  </si>
  <si>
    <t>БББ Михаил Евдокимович</t>
  </si>
  <si>
    <t>БББ Евдоким Гаврилович</t>
  </si>
  <si>
    <t>БББ Григорий Иванович</t>
  </si>
  <si>
    <t>БББ Семен Алексеевич</t>
  </si>
  <si>
    <t>БББ Александр Алексеевич</t>
  </si>
  <si>
    <t>БББа Анастасия Семеновна</t>
  </si>
  <si>
    <t>БББ Петр Николаевич</t>
  </si>
  <si>
    <t>БББа Пелагея Ивановна</t>
  </si>
  <si>
    <t>БББа Марфа Евдокимовна</t>
  </si>
  <si>
    <t>БББа Мария Николаевна</t>
  </si>
  <si>
    <t>БББ Николай Ефимович</t>
  </si>
  <si>
    <t>БББ Ефим Степанович</t>
  </si>
  <si>
    <t>БББ Андрей Семенович</t>
  </si>
  <si>
    <t>БББ Михаил</t>
  </si>
  <si>
    <t>БББ Сергей Игнатьевич</t>
  </si>
  <si>
    <t>БББ Егор Максимович</t>
  </si>
  <si>
    <t>БББ Иван Гаврилович</t>
  </si>
  <si>
    <t>БББ Яков Петрович</t>
  </si>
  <si>
    <t>БББ Роман Егорович</t>
  </si>
  <si>
    <t>БББ Степан Харитонович</t>
  </si>
  <si>
    <t>БББ Михаил Лаврентьевич</t>
  </si>
  <si>
    <t>БББ Григорий Ефимович</t>
  </si>
  <si>
    <t>сводный брат. Общий род-ль мать, так как у них разные отчества. Насчет фамилии не уверен, но у его детей - БББ.</t>
  </si>
  <si>
    <t>БББа Агафья Петровна</t>
  </si>
  <si>
    <t>БББа Матрена Семеновна</t>
  </si>
  <si>
    <t>БББа Мария Яковлевна</t>
  </si>
  <si>
    <t>БББа Федора Григорьевна</t>
  </si>
  <si>
    <t>БББа Ирина Григорьевна</t>
  </si>
  <si>
    <t>БББа Фёкла Григорьевна</t>
  </si>
  <si>
    <t>БББа Александра Григорьевна</t>
  </si>
  <si>
    <t>БББ Иван Григорьевич (мл.)</t>
  </si>
  <si>
    <t>БББ (?) Захар Харитонович</t>
  </si>
  <si>
    <t>БББ Иван Максимович</t>
  </si>
  <si>
    <t>БББ Петр Иванович</t>
  </si>
  <si>
    <t>БББ Раман Егорович</t>
  </si>
  <si>
    <t>БББ Лаврентей Харитонович</t>
  </si>
  <si>
    <t>БББ Назар Лаврентьевич</t>
  </si>
  <si>
    <t>БББа Марфа Лаврентьевна</t>
  </si>
  <si>
    <t>БББа Авдотья Ивановна</t>
  </si>
  <si>
    <t>БББа Марья Яковлевна</t>
  </si>
  <si>
    <t>БББа Мавра Григорьевна</t>
  </si>
  <si>
    <t>БББ Захар Харитонович</t>
  </si>
  <si>
    <t>БББ Егор Семенович</t>
  </si>
  <si>
    <t>БББ Трофим Степанович</t>
  </si>
  <si>
    <t>БББ Федор Степанович</t>
  </si>
  <si>
    <t>БББа Агафья</t>
  </si>
  <si>
    <t>БББа Катерина</t>
  </si>
  <si>
    <t>БББа Матрена</t>
  </si>
  <si>
    <t>БББа Марина Лаврентьевна</t>
  </si>
  <si>
    <t>БББа Парасковья Лаврентьевна</t>
  </si>
  <si>
    <t>БББ Максим Иванович</t>
  </si>
  <si>
    <t>БББ Гаврило Иванович</t>
  </si>
  <si>
    <t>БББ ?</t>
  </si>
  <si>
    <t>брат (двоюродный), дочери Семена БББа</t>
  </si>
  <si>
    <t>БББа Пелагея</t>
  </si>
  <si>
    <t>БББа ?</t>
  </si>
  <si>
    <t>БББа Василиса Семеновна</t>
  </si>
  <si>
    <t>БББа Анна Семеновна</t>
  </si>
  <si>
    <t>БББ Ефим Харитонович</t>
  </si>
  <si>
    <t>БББа Лукерья Ефимовна</t>
  </si>
  <si>
    <t>БББа Арина Ефимовна</t>
  </si>
  <si>
    <t>БББа Варвара Харитоновна</t>
  </si>
  <si>
    <t>БББа Меланья Харитоновна</t>
  </si>
  <si>
    <t>БББа Татьяна Харитоновна</t>
  </si>
  <si>
    <t>БББа Анна Васильевна</t>
  </si>
  <si>
    <t>БББ Василий Васильевич</t>
  </si>
  <si>
    <t>БББ Степан ?Васильевич</t>
  </si>
  <si>
    <t>БББа Ирина</t>
  </si>
  <si>
    <t>БББ Александр Гаврилович</t>
  </si>
  <si>
    <t>БББ Александр Иванович</t>
  </si>
  <si>
    <t>БББ Александр Степанович</t>
  </si>
  <si>
    <t>БББ Александр</t>
  </si>
  <si>
    <t>БББ Андрей Трофимович</t>
  </si>
  <si>
    <t>БББ Василий Андриянович</t>
  </si>
  <si>
    <t>БББ Василий Андрианович</t>
  </si>
  <si>
    <t>БББ Василий(Михайлович</t>
  </si>
  <si>
    <t>БББ Григорий Федорович</t>
  </si>
  <si>
    <t>БББ Григорий</t>
  </si>
  <si>
    <t>БББ Дмитрий Семенович</t>
  </si>
  <si>
    <t>БББ Егор Алексеевич</t>
  </si>
  <si>
    <t>БББ Евдоким</t>
  </si>
  <si>
    <t>БББ Егор Михайлович</t>
  </si>
  <si>
    <t>БББ Алексеевич</t>
  </si>
  <si>
    <t>БББ Лукиан Иванович</t>
  </si>
  <si>
    <t>БББ Матвей Петрович</t>
  </si>
  <si>
    <t>БББ Матвей</t>
  </si>
  <si>
    <t>БББ Матвей Яковлевич</t>
  </si>
  <si>
    <t>БББ Михаил Иванович</t>
  </si>
  <si>
    <t>БББ Михаил Яковлевич</t>
  </si>
  <si>
    <t>БББ Павел Иванович</t>
  </si>
  <si>
    <t>БББ Прокопий Васильевич</t>
  </si>
  <si>
    <t>БББ Семен Максимович</t>
  </si>
  <si>
    <t>БББ Степан Васильевич</t>
  </si>
  <si>
    <t>БББ Степан Федорович</t>
  </si>
  <si>
    <t>БББ Степан</t>
  </si>
  <si>
    <t>БББ Федор Михайлович</t>
  </si>
  <si>
    <t>БББ Филипп Матвеевич</t>
  </si>
  <si>
    <t>БББа Авдотья Алекс.</t>
  </si>
  <si>
    <t>БББа Аграфена Егоровна</t>
  </si>
  <si>
    <t>БББа Агафья Ивановна</t>
  </si>
  <si>
    <t>БББа Анфисья Семеновна</t>
  </si>
  <si>
    <t>БББа Аграфена Ивановна</t>
  </si>
  <si>
    <t>БББа Прасковья Алек.</t>
  </si>
  <si>
    <t>БББа Агрипина Ильинична</t>
  </si>
  <si>
    <t>БББа Анастасия Федоровна</t>
  </si>
  <si>
    <t>БББа Анисья Андреевна</t>
  </si>
  <si>
    <t>БББа Анна Егоровна</t>
  </si>
  <si>
    <t>БББа Анна Павловна</t>
  </si>
  <si>
    <t>БББа Анна Яковлевна</t>
  </si>
  <si>
    <t>БББа Евдокия</t>
  </si>
  <si>
    <t>БББа Екатерина Матвеевна</t>
  </si>
  <si>
    <t>БББа Екатерина</t>
  </si>
  <si>
    <t>БББа Крестина Яковлевна</t>
  </si>
  <si>
    <t>БББа Мария Ивановна</t>
  </si>
  <si>
    <t>БББа Мария Михайловна</t>
  </si>
  <si>
    <t>БББа Мария</t>
  </si>
  <si>
    <t>БББа Марфа Михайловна</t>
  </si>
  <si>
    <t>БББа Матрена Степановна</t>
  </si>
  <si>
    <t>БББа Матрена Федоровна</t>
  </si>
  <si>
    <t>БББа Настасья Егоровна</t>
  </si>
  <si>
    <t>БББа Настасья Михайловна</t>
  </si>
  <si>
    <t>БББа Настасья Павловна</t>
  </si>
  <si>
    <t>БББа Параскева Алекс.</t>
  </si>
  <si>
    <t>БББа Парасковья Даниловна</t>
  </si>
  <si>
    <t>БББа Парасковья</t>
  </si>
  <si>
    <t>БББа Пелагея Алекс.</t>
  </si>
  <si>
    <t>БББа Степанида Павловна</t>
  </si>
  <si>
    <t>БББа Сусанна Алекс.</t>
  </si>
  <si>
    <t>БББа Таисья Павловна</t>
  </si>
  <si>
    <t>БББа Ульяна Николаевна</t>
  </si>
  <si>
    <t>БББа Ульяна Павловна</t>
  </si>
  <si>
    <t>БББа Ульяна</t>
  </si>
  <si>
    <t>ШШШ Александр Дорофеевич</t>
  </si>
  <si>
    <t>ШШШ Дорофей Герасимович</t>
  </si>
  <si>
    <t>ШШШа Дарья Ус*</t>
  </si>
  <si>
    <t>ШШШ Василий Григорьевич</t>
  </si>
  <si>
    <t>ШШШ Григорий Дорофеевич</t>
  </si>
  <si>
    <t>ШШШа Ирина Максимовна</t>
  </si>
  <si>
    <t>ШШШ Алексей Дорофеевич</t>
  </si>
  <si>
    <t>ШШШа Евдокия Григорьевна</t>
  </si>
  <si>
    <t>ШШШ Данила</t>
  </si>
  <si>
    <t>ШШШ Василий Георгиевич</t>
  </si>
  <si>
    <t>ШШШ Георгий Михайлович</t>
  </si>
  <si>
    <t>ШШШа Дария Никитична</t>
  </si>
  <si>
    <t>ШШШ Георгий Данилович</t>
  </si>
  <si>
    <t>ШШШ Георгий Васильевич</t>
  </si>
  <si>
    <t>ШШШ Василий Яковлевич</t>
  </si>
  <si>
    <t>ШШШа Евдокия Ивановна</t>
  </si>
  <si>
    <t>ШШШ Михаил Васильевич</t>
  </si>
  <si>
    <t>ШШШа Елена Васильевна</t>
  </si>
  <si>
    <t xml:space="preserve">ШШШа Александр Васильевич </t>
  </si>
  <si>
    <t>ШШШа Марфа Петровна</t>
  </si>
  <si>
    <t>ШШШ Петр Якимович</t>
  </si>
  <si>
    <t>ШШШа Олимпиада Михайловна</t>
  </si>
  <si>
    <t>ШШШ Сергей Якимович</t>
  </si>
  <si>
    <t>ШШШа Елизавета Петровна</t>
  </si>
  <si>
    <t>ШШШа Ксения Григорьевна</t>
  </si>
  <si>
    <t>ШШШ Василий Гавриилович</t>
  </si>
  <si>
    <t>ШШШ Гавриил Игнатьевич</t>
  </si>
  <si>
    <t>ШШШа Александра Алексеевна</t>
  </si>
  <si>
    <t>ШШШ Александр Степанович</t>
  </si>
  <si>
    <t>ШШШ Стефан Иванович</t>
  </si>
  <si>
    <t>ШШШа Анна Матвеевна</t>
  </si>
  <si>
    <t>ШШШа Мария Самуиловна</t>
  </si>
  <si>
    <t>ШШШ Яков Иванович</t>
  </si>
  <si>
    <t>ШШШ Иван Георгиевич</t>
  </si>
  <si>
    <t>ШШШа Дарья Ивановна</t>
  </si>
  <si>
    <t>ШШШ Федор Андреевич</t>
  </si>
  <si>
    <t>ШШШ Георгий</t>
  </si>
  <si>
    <t>ШШШа Ирина Яковлевна (солдатская вдова)</t>
  </si>
  <si>
    <t>ШШШ Иван Филаретович</t>
  </si>
  <si>
    <t>ШШШ Филарет Иванович</t>
  </si>
  <si>
    <t>ШШШа Екатерина Петровна</t>
  </si>
  <si>
    <t>ШШШ Яков Георгиевич</t>
  </si>
  <si>
    <t>ШШШ Иван Петрович</t>
  </si>
  <si>
    <t>ШШШ Василий Якимович</t>
  </si>
  <si>
    <t>ШШШа Александра Андреевна</t>
  </si>
  <si>
    <t>ШШШ Андрей Леонтьевич</t>
  </si>
  <si>
    <t>ШШШа Елена Ивановна</t>
  </si>
  <si>
    <t>ШШШ Михаил Иванович</t>
  </si>
  <si>
    <t>ШШШ Иван Д?</t>
  </si>
  <si>
    <t>ШШШа Агафья Никифоровна</t>
  </si>
  <si>
    <t>ШШШ Алексей Д?</t>
  </si>
  <si>
    <t>ШШШа Агафья Николаевна</t>
  </si>
  <si>
    <t>ШШШ Николай Сегреевич</t>
  </si>
  <si>
    <t>ШШШа Марфа Ивановна</t>
  </si>
  <si>
    <t>ШШШа Мария Сергеевна</t>
  </si>
  <si>
    <t>ШШШа Мария Стефановна</t>
  </si>
  <si>
    <t>ШШШ Стефан Андреевич</t>
  </si>
  <si>
    <t>ШШШа Любовь Матвеева</t>
  </si>
  <si>
    <t>ШШШа Елисавета Андреевна</t>
  </si>
  <si>
    <t>ШШШа Анастасия Гавриловна</t>
  </si>
  <si>
    <t>ШШШа Пелагея Васильевна</t>
  </si>
  <si>
    <t>ШШШа Ксения Дмитровна</t>
  </si>
  <si>
    <t>ШШШ Феодор Якович</t>
  </si>
  <si>
    <t>ШШШ Яков Петрович</t>
  </si>
  <si>
    <t>ШШШа Антонина Петровна</t>
  </si>
  <si>
    <t>ШШШ Василий Петрович</t>
  </si>
  <si>
    <t>ШШШа Апполинария Никитична</t>
  </si>
  <si>
    <t>ШШШ Никита Дорофеевич</t>
  </si>
  <si>
    <t>ШШШа Елена Михайловна</t>
  </si>
  <si>
    <t>ШШШ Яким Васильевич</t>
  </si>
  <si>
    <t>ШШШа Параскева Михайловна</t>
  </si>
  <si>
    <t>ШШШа Анна Якимовна</t>
  </si>
  <si>
    <t>ШШШ Яким</t>
  </si>
  <si>
    <t>ШШШ Василий Васильевич</t>
  </si>
  <si>
    <t>ШШШ Яков Егорович</t>
  </si>
  <si>
    <t>ШШШ Александр Иванович</t>
  </si>
  <si>
    <t>ШШШ Петр Иванович</t>
  </si>
  <si>
    <t>ШШШ Иван Васильевич</t>
  </si>
  <si>
    <t>ШШШа Фёкла Александровна</t>
  </si>
  <si>
    <t>ШШШ Александр Кириллович</t>
  </si>
  <si>
    <t>ШШШ Александр Васильевич</t>
  </si>
  <si>
    <t>ШШШ Иван Александрович</t>
  </si>
  <si>
    <t>ШШШ Александр</t>
  </si>
  <si>
    <t>ШШШ Павел Андреевич</t>
  </si>
  <si>
    <t>ШШШ Андрей</t>
  </si>
  <si>
    <t>ШШШ Терентий Никитинович</t>
  </si>
  <si>
    <t>ШШШ Никита</t>
  </si>
  <si>
    <t>ШШШ Иван Дорофеевич</t>
  </si>
  <si>
    <t>ШШШ Иван Дорофеевич - рядовой в запасе</t>
  </si>
  <si>
    <t>ШШШа Ольга Васильевна</t>
  </si>
  <si>
    <t>ШШШ Василий</t>
  </si>
  <si>
    <t>ШШШ Косма Васильевич</t>
  </si>
  <si>
    <t>ШШШ Иван Даниилович</t>
  </si>
  <si>
    <t>ШШШ Даниил</t>
  </si>
  <si>
    <t>ШШШ Дмитрий Данилович</t>
  </si>
  <si>
    <t>ШШШ Дмитрий Данилович - рядовой в запасе, Усольцев Иван Николаевич - рядовой в запасе</t>
  </si>
  <si>
    <t>ШШШа Александра Федоровна</t>
  </si>
  <si>
    <t>ШШШ Михаил Александрович</t>
  </si>
  <si>
    <t>ШШШ Алексей Даниилов</t>
  </si>
  <si>
    <t>ШШШа Марфа Малахивна</t>
  </si>
  <si>
    <t>ШШШ Малахия</t>
  </si>
  <si>
    <t>ШШШ Николай Михайлович</t>
  </si>
  <si>
    <t>ШШШа Ев? Яковлевна</t>
  </si>
  <si>
    <t>вдова ШШШа Ивана</t>
  </si>
  <si>
    <t>ШШШ Иван Наумович</t>
  </si>
  <si>
    <t>ШШШ Григорий Иванович</t>
  </si>
  <si>
    <t>ШШШ Иван</t>
  </si>
  <si>
    <t>ШШШ Петр Кириллович</t>
  </si>
  <si>
    <t>ШШШа Параскева Кирилловна</t>
  </si>
  <si>
    <t>вдова ШШШа Якова</t>
  </si>
  <si>
    <t>ШШШ Даниил Автоном</t>
  </si>
  <si>
    <t>ШШШ Игнатий ?</t>
  </si>
  <si>
    <t>ШШШ ? Александрович</t>
  </si>
  <si>
    <t>ШШШа Дарья Тимофеевна</t>
  </si>
  <si>
    <t>ШШШа Прасковья Александровна</t>
  </si>
  <si>
    <t>ШШШа Анна Ивановна</t>
  </si>
  <si>
    <t>ШШШа В? Матвеевна</t>
  </si>
  <si>
    <t>ШШШ Матвей ?</t>
  </si>
  <si>
    <t>ШШШа Ирина Яковлевна</t>
  </si>
  <si>
    <t>ШШШа Анна Сергеевна</t>
  </si>
  <si>
    <t>ШШШа Татьяна Алексеевна</t>
  </si>
  <si>
    <t>ШШШ Герасим Васильевич</t>
  </si>
  <si>
    <t>ШШШ Семен Антипович</t>
  </si>
  <si>
    <t>ШШШ Кирило Егорович</t>
  </si>
  <si>
    <t>ШШШ Филип Тимофеевич</t>
  </si>
  <si>
    <t>ШШШ Петр Ефремович</t>
  </si>
  <si>
    <t>ШШШ Василей Степанович</t>
  </si>
  <si>
    <t>ШШШ Егор Борисович</t>
  </si>
  <si>
    <t>ШШШ Кирило Борисович</t>
  </si>
  <si>
    <t>ШШШ Антон Яковлевич</t>
  </si>
  <si>
    <t>ШШШ Василей Сергеевич</t>
  </si>
  <si>
    <t>ШШШ Антип Фотьевич</t>
  </si>
  <si>
    <t>ШШШ Егор Фотьевич</t>
  </si>
  <si>
    <t>ШШШ Данило Яковлевич</t>
  </si>
  <si>
    <t>ШШШ Антипа Фотеевич</t>
  </si>
  <si>
    <t>ШШШ Егор Фотеевич</t>
  </si>
  <si>
    <t>ШШШ Тимофей Сергеевич</t>
  </si>
  <si>
    <t>ШШШ Ефрем Михайлович</t>
  </si>
  <si>
    <t>ШШШа Елисавета Петровна</t>
  </si>
  <si>
    <t>ШШШа Наталья Васильевна</t>
  </si>
  <si>
    <t>ШШШАлександр Иванович</t>
  </si>
  <si>
    <t>ШШШ Алекс. Данилович</t>
  </si>
  <si>
    <t>ШШШ Андрей Леон.</t>
  </si>
  <si>
    <t>ШШШ Дмитрий Федорович</t>
  </si>
  <si>
    <t>ШШШ Иван Матвеевич</t>
  </si>
  <si>
    <t>ШШШ Михаил Михайлович</t>
  </si>
  <si>
    <t>ШШШ Михайл Наумович</t>
  </si>
  <si>
    <t>ШШШ Михаил (неразборчиво)</t>
  </si>
  <si>
    <t>ШШШ Никифор Иванович</t>
  </si>
  <si>
    <t>ШШШ Петр Екимович</t>
  </si>
  <si>
    <t>ШШШ Сергей Екимович</t>
  </si>
  <si>
    <t>ШШШ Степан Иванович</t>
  </si>
  <si>
    <t>ШШШ Федор Григорьевич</t>
  </si>
  <si>
    <t>ШШШ Яков Егоров(ич)</t>
  </si>
  <si>
    <t>ШШШа Анастасия Васильевна</t>
  </si>
  <si>
    <t>ШШШа Анна Андреевна</t>
  </si>
  <si>
    <t>ШШШа Дарья</t>
  </si>
  <si>
    <t>ШШШа Екатерина</t>
  </si>
  <si>
    <t>ШШШа Любовь Матвеевна</t>
  </si>
  <si>
    <t>ШШШ Алек. Данилович</t>
  </si>
  <si>
    <t>ШШШ Василий Иванович</t>
  </si>
  <si>
    <t>ШШШ Гавриил Григорьевич</t>
  </si>
  <si>
    <t>ШШШ Дмитрий Степанович</t>
  </si>
  <si>
    <t>ШШШ Евдоким Якимович</t>
  </si>
  <si>
    <t>ШШШ Иван Григорьевич</t>
  </si>
  <si>
    <t>ШШШ Максим Филаретович</t>
  </si>
  <si>
    <t>ШШШ Михаил Наумович</t>
  </si>
  <si>
    <t>ШШШ Николай Иванович</t>
  </si>
  <si>
    <t>ШШШ Николай Сергеевич</t>
  </si>
  <si>
    <t>ШШШ Петр Екимович (Иоакимович)</t>
  </si>
  <si>
    <t>ШШШ Семен Петрович</t>
  </si>
  <si>
    <t>ШШШа Алимпиада Михайловна</t>
  </si>
  <si>
    <t>ШШШа Анна Афонасьевна</t>
  </si>
  <si>
    <t>ШШШа Анна Никандровна</t>
  </si>
  <si>
    <t>ШШШа Антонида Петровна</t>
  </si>
  <si>
    <t>ШШШа Афонасья</t>
  </si>
  <si>
    <t>ШШШа Варвара</t>
  </si>
  <si>
    <t>ШШШа Домна Варламовна</t>
  </si>
  <si>
    <t>ШШШа Мавра Ивановна</t>
  </si>
  <si>
    <t>ШШШа Мария Андреевна</t>
  </si>
  <si>
    <t>ШШШа Мария Даниловна</t>
  </si>
  <si>
    <t>ШШШа Матрена Федоровна</t>
  </si>
  <si>
    <t>ШШШа Наталья Ивановна</t>
  </si>
  <si>
    <t>ШШШа Парасковья Дмитриевна</t>
  </si>
  <si>
    <t>ШШШа Парасковья Ивановна</t>
  </si>
  <si>
    <t>ШШШ Алексан(др)</t>
  </si>
  <si>
    <t>ШШШ Алек. (Александр) Иван(ович)</t>
  </si>
  <si>
    <t>ШШШ Алекс. Данил. (Данилович)</t>
  </si>
  <si>
    <t>ШШШ Василий Пет. (Петрович)</t>
  </si>
  <si>
    <t>ШШШ Вас(илий)</t>
  </si>
  <si>
    <t>Шерстабитов (ШШШ) Григо(рий) Ив(анович)</t>
  </si>
  <si>
    <t>ШШШ Дмитр(ий) Данил. (Данилович)</t>
  </si>
  <si>
    <t>ШШШ Иван Матв(еевич)</t>
  </si>
  <si>
    <t>Шерстаб (ШШШ) Михаил Мих(айлович)</t>
  </si>
  <si>
    <t>ШШШ Михайл (Наумович)</t>
  </si>
  <si>
    <t>Шерстабитов (ШШШ) Мих(аил) (неразборчиво)</t>
  </si>
  <si>
    <t>ШШШ Никиф(ор Иванович)</t>
  </si>
  <si>
    <t>Шерстаб. (ШШШ) Петр Еким. (Екимович - Иоакимович)</t>
  </si>
  <si>
    <t>Шерстабип (ШШШ) Сергей Ек. (Екимович - Иоакимович)</t>
  </si>
  <si>
    <t>Шерст. (ШШШ) Степан Иванов. (Иванович)</t>
  </si>
  <si>
    <t>Шерстобитобитов (ШШШ) Ф(едор Григорьевич)</t>
  </si>
  <si>
    <t>Шерст. (ШШШа) Анастас. (Анастасия Васильевна)</t>
  </si>
  <si>
    <t>Шерстабит. (ШШШа) Анна Ан(дреевна)</t>
  </si>
  <si>
    <t>ШШШа Дар. (Дарья)</t>
  </si>
  <si>
    <t>Шерстабит. (ШШШа) Катери. (Екатерина)</t>
  </si>
  <si>
    <t>Шерстаб (ШШШа) Любава (Любовь Матвеевна)</t>
  </si>
  <si>
    <t>ШШШ Евдоким Екимович (Иоакимович)</t>
  </si>
  <si>
    <t>ШШШы, БББы, БЕЕы</t>
  </si>
  <si>
    <t>Возможный год рождения БЕЕа Василия Михайловича - возможно брат БЕЕой Олимпиады. Быстрый поиск по родившимся не дал результат по БББу Василию.</t>
  </si>
  <si>
    <t>Тер? БЕЕа</t>
  </si>
  <si>
    <t>БЕЕа Анна Емелианновна</t>
  </si>
  <si>
    <t>БЕЕ Емелиан Петрович</t>
  </si>
  <si>
    <t>БЕЕа Екатерина Кузьмина</t>
  </si>
  <si>
    <t>БЕЕ Дмитрий Емельянович</t>
  </si>
  <si>
    <t>БЕЕа Анна Абрамовна</t>
  </si>
  <si>
    <t>жена БЕЕа Ивана Степановича</t>
  </si>
  <si>
    <t>жена рядового Якова БЕЕа Параскева Федоровна</t>
  </si>
  <si>
    <t>БЕЕ Василий Алексеевич</t>
  </si>
  <si>
    <t>БЕЕ Алексей Трофимович</t>
  </si>
  <si>
    <t>БЕЕа Анна Григорьевна</t>
  </si>
  <si>
    <t>БЕЕа Мария Кондратьевна</t>
  </si>
  <si>
    <t>БЕЕа Дарья Васильевна</t>
  </si>
  <si>
    <t>БЕЕ Василий Данилович</t>
  </si>
  <si>
    <t>БЕЕа Пелагея Филипповна</t>
  </si>
  <si>
    <t>Жена Гавриила БЕЕа Гликерия Павловна</t>
  </si>
  <si>
    <t>БЕЕ Степан Иванович</t>
  </si>
  <si>
    <t>БЕЕ Иван Степанович</t>
  </si>
  <si>
    <t>Андрей Абрамович БЕЕ</t>
  </si>
  <si>
    <t>БЕЕ Ев? Пименов</t>
  </si>
  <si>
    <t>жена Петра Михайлович БЕЕа</t>
  </si>
  <si>
    <t>БЕЕ Петр Михайлович</t>
  </si>
  <si>
    <t>БЕЕ Иван Павлович</t>
  </si>
  <si>
    <t>БЕЕ Павел Григорьевич</t>
  </si>
  <si>
    <t>БЕЕ Платон Иванович</t>
  </si>
  <si>
    <t>БЕЕ Иван Петрович</t>
  </si>
  <si>
    <t>БЕЕа Анастасия Тимофеевна</t>
  </si>
  <si>
    <t>БЕЕа Елизавета Григорьевна</t>
  </si>
  <si>
    <t>БЕЕ Григорий Федорович</t>
  </si>
  <si>
    <t>БЕЕа Ульяна Васильевна</t>
  </si>
  <si>
    <t>БЕЕа Елена Григорьевна</t>
  </si>
  <si>
    <t>БЕЕ Григорий Матвеевич</t>
  </si>
  <si>
    <t>БЕЕа Дарья Григорьевна</t>
  </si>
  <si>
    <t>БЕЕ Петр Спиридонович</t>
  </si>
  <si>
    <t>БЕЕ Спиридон Дмитриевич</t>
  </si>
  <si>
    <t>БЕЕа Евдокия Григорьевна</t>
  </si>
  <si>
    <t>БЕЕ Афанасий Дмитриевич</t>
  </si>
  <si>
    <t>БЕЕа Марфа Евдокимовна</t>
  </si>
  <si>
    <t>БЕЕ Александр Игнатьевич</t>
  </si>
  <si>
    <t>БЕЕ Игнат Иванович</t>
  </si>
  <si>
    <t>БЕЕа Надежда Васильевна</t>
  </si>
  <si>
    <t>БЕЕа Александр Иванович</t>
  </si>
  <si>
    <t>БЕЕ Иван Кондратьевич</t>
  </si>
  <si>
    <t>БЕЕа Л? Николаевна</t>
  </si>
  <si>
    <t>БЕЕа Анна Михайловна</t>
  </si>
  <si>
    <t>БЕЕ Михаил Ефимович</t>
  </si>
  <si>
    <t>БЕЕа Анна Ивановна</t>
  </si>
  <si>
    <t>БЕЕа Степанида Матвеевна</t>
  </si>
  <si>
    <t>БЕЕ Семен Васильевич</t>
  </si>
  <si>
    <t>БЕЕ Петр Степанович</t>
  </si>
  <si>
    <t>БЕЕа Евдокия Ивановна</t>
  </si>
  <si>
    <t>БЕЕа Таисия Ионавна</t>
  </si>
  <si>
    <t>БЕЕ Иоан Стефанович</t>
  </si>
  <si>
    <t>БЕЕа Наталья Васильевна</t>
  </si>
  <si>
    <t xml:space="preserve">БЕЕа ? Степановна </t>
  </si>
  <si>
    <t>БЕЕ Дмитрий Федорович</t>
  </si>
  <si>
    <t>БЕЕ Федор Павлович</t>
  </si>
  <si>
    <t>БЕЕа Гликерия Павловна</t>
  </si>
  <si>
    <t>жена БЕЕа Гавриила</t>
  </si>
  <si>
    <t>БЕЕа Анна Павловна</t>
  </si>
  <si>
    <t>БЕЕ Павел Петрович</t>
  </si>
  <si>
    <t>БЕЕа Ирина Даниловна</t>
  </si>
  <si>
    <t>БЕЕа Татьяна Павловна</t>
  </si>
  <si>
    <t>БЕЕ Григорий Петрович</t>
  </si>
  <si>
    <t>БЕЕа Олимпиада *</t>
  </si>
  <si>
    <t>БЕЕа Соломония Федоровна</t>
  </si>
  <si>
    <t>БЕЕа Соломония Феодоровна</t>
  </si>
  <si>
    <t>БЕЕ Степан</t>
  </si>
  <si>
    <t>БЕЕ Василий Иванович</t>
  </si>
  <si>
    <t>БЕЕ Василий Иванович - ефрейтор в запасе</t>
  </si>
  <si>
    <t>БЕЕа Е? Васильевна</t>
  </si>
  <si>
    <t>БЕЕ Василий</t>
  </si>
  <si>
    <t>БЕЕ Степан Васильевич</t>
  </si>
  <si>
    <t>БЕЕа Анфиса Евфимовна</t>
  </si>
  <si>
    <t>БЕЕ Евфимий Пименович</t>
  </si>
  <si>
    <t>БЕЕа Евдокия Дмитриевна</t>
  </si>
  <si>
    <t>БЕЕ Дмитрий</t>
  </si>
  <si>
    <t>БЕЕ Афонасий Дмитриевич</t>
  </si>
  <si>
    <t>БЕЕа Варвара Яковлевна</t>
  </si>
  <si>
    <t>БЕЕ Яков Макарович</t>
  </si>
  <si>
    <t>БЕЕ Иван Яковлевич</t>
  </si>
  <si>
    <t>БЕЕа Мария Ефимовна</t>
  </si>
  <si>
    <t>БЕЕ Ефим</t>
  </si>
  <si>
    <t>БЕЕ Василий Иванович - рядовой в запасе</t>
  </si>
  <si>
    <t>БЕЕа Евдокия Михайловна</t>
  </si>
  <si>
    <t>вдова БЕЕа Степана</t>
  </si>
  <si>
    <t>БЕЕ Ефим Пименович</t>
  </si>
  <si>
    <t>БЕЕа Марфа Петровна</t>
  </si>
  <si>
    <t>БЕЕ Феодосий ?</t>
  </si>
  <si>
    <t>БЕЕа Агрипина Семеновна</t>
  </si>
  <si>
    <t>БЕЕа Мария Григорьевна</t>
  </si>
  <si>
    <t>БЕЕ Иван</t>
  </si>
  <si>
    <t>БЕЕ Михайло Кирилович</t>
  </si>
  <si>
    <t>БЕЕ Василий Антонович</t>
  </si>
  <si>
    <t>БЕЕ Калистрат Прокопьевич</t>
  </si>
  <si>
    <t>БЕЕ Тимофей Данилович</t>
  </si>
  <si>
    <t>№ в переписи 1850 года: 59 (БЕЕ Петр Михайлович малой)</t>
  </si>
  <si>
    <t>БЕЕ Михайло Максимович</t>
  </si>
  <si>
    <t>БЕЕ Яков Терентьевич</t>
  </si>
  <si>
    <t>БЕЕ Григорий Терентьевич</t>
  </si>
  <si>
    <t>БЕЕ Хрисанф Пахомович</t>
  </si>
  <si>
    <t>БЕЕ Петр Михайлович малой</t>
  </si>
  <si>
    <t>БЕЕ Терентей Федорович</t>
  </si>
  <si>
    <t>БЕЕ Григорей Терентьевич</t>
  </si>
  <si>
    <t>БЕЕ Василей Кирилович</t>
  </si>
  <si>
    <t>БЕЕ Лука Яковлевич</t>
  </si>
  <si>
    <t>БЕЕ Антон Яковлевич</t>
  </si>
  <si>
    <t>БЕЕ Прокопей Трифонович</t>
  </si>
  <si>
    <t>БЕЕ Данило Степанович</t>
  </si>
  <si>
    <t>БЕЕ Михайло Федорович</t>
  </si>
  <si>
    <t>БЕЕ Максим Федорович</t>
  </si>
  <si>
    <t>БЕЕа Агриппина Пименовна</t>
  </si>
  <si>
    <t>БЕЕа Прасковья Федоровна</t>
  </si>
  <si>
    <t>БЕЕ Александр Никитич</t>
  </si>
  <si>
    <t>БЕЕ Василий Степанович</t>
  </si>
  <si>
    <t>БЕЕ Галактион Федорович</t>
  </si>
  <si>
    <t>БЕЕ Дорофей Никитич</t>
  </si>
  <si>
    <t>БЕЕ Иларион</t>
  </si>
  <si>
    <t>БЕЕ Максим Максимович</t>
  </si>
  <si>
    <t>БЕЕ Михаил Степанович</t>
  </si>
  <si>
    <t>БЕЕ Никита Дорофеевич</t>
  </si>
  <si>
    <t>БЕЕ Никита Иларионович</t>
  </si>
  <si>
    <t>БЕЕ Павел Родионович</t>
  </si>
  <si>
    <t>БЕЕ Пимен Максимович</t>
  </si>
  <si>
    <t>БЕЕ Родион Иларионович</t>
  </si>
  <si>
    <t>БЕЕ Степан Дорофеевич</t>
  </si>
  <si>
    <t>БЕЕ Степан Пименович</t>
  </si>
  <si>
    <t>БЕЕ Терентий Федорович</t>
  </si>
  <si>
    <t>БЕЕ Трифон Павлович</t>
  </si>
  <si>
    <t>БЕЕ Федор Александрович</t>
  </si>
  <si>
    <t>БЕЕа Степанида Матвеевна или Петровна</t>
  </si>
  <si>
    <t>БЕЕа Евдокия Саввична</t>
  </si>
  <si>
    <t>БЕЕа Иустения Яковлевна</t>
  </si>
  <si>
    <t>БЕЕа Прасковья Дмитриевна</t>
  </si>
  <si>
    <t>БЕЕа Соломония Кузьминична</t>
  </si>
  <si>
    <t>БЕЕа Татьяна Исидоровна</t>
  </si>
  <si>
    <t>Окунева (БЕЕа) Анна Петровна</t>
  </si>
  <si>
    <t>БЕЕ Андрей Иванович</t>
  </si>
  <si>
    <t>БЕЕ Родион?</t>
  </si>
  <si>
    <t>БЕЕ Сергей Николаевич</t>
  </si>
  <si>
    <t>БЕЕ Федор Иванович</t>
  </si>
  <si>
    <t>БЕЕа Мария</t>
  </si>
  <si>
    <t>БЕЕа Ульяна Васильевна?</t>
  </si>
  <si>
    <t>БЕЕа Федосья Васильевна</t>
  </si>
  <si>
    <t>БЕЕа Хевронья Дмитриевна</t>
  </si>
  <si>
    <t>БЕЕ Александр Михайлович</t>
  </si>
  <si>
    <t>БЕЕ Андрей Михайлович</t>
  </si>
  <si>
    <t>БЕЕ Матвей В.</t>
  </si>
  <si>
    <t>БЕЕ Семен Василевич</t>
  </si>
  <si>
    <t>БЕЕ Степан Семенович</t>
  </si>
  <si>
    <t>БЕЕа Александра Ивановна</t>
  </si>
  <si>
    <t>БЕЕа Александра (Ивановна)</t>
  </si>
  <si>
    <t>БЕЕа Анастасия</t>
  </si>
  <si>
    <t>БЕЕа Анна Дмитриевна</t>
  </si>
  <si>
    <t>БЕЕа Анна</t>
  </si>
  <si>
    <t>БЕЕа Евдокия (Ивановна)</t>
  </si>
  <si>
    <t>БЕЕа Ирина Ивановна</t>
  </si>
  <si>
    <t>БЕЕа Мария Афонасьевна</t>
  </si>
  <si>
    <t>БЕЕа Матрена Васильевна</t>
  </si>
  <si>
    <t>БЕЕа Надежда Павловна</t>
  </si>
  <si>
    <t>БЕЕа Парасковья Захаровна</t>
  </si>
  <si>
    <t>БЕЕа Пелагея</t>
  </si>
  <si>
    <t>БЕЕа Фу…</t>
  </si>
  <si>
    <t>БЕЕа Хевронья (Дмитриевна)</t>
  </si>
  <si>
    <t>ШШШы, БББы, БЕЕы, КККы</t>
  </si>
  <si>
    <t>ККК Иван Сименович</t>
  </si>
  <si>
    <t>КККа Ирина Захаровна</t>
  </si>
  <si>
    <t>ККК Иосиф Семенович</t>
  </si>
  <si>
    <t>ККК Иван Семенович</t>
  </si>
  <si>
    <t>ККК Яков Семенович</t>
  </si>
  <si>
    <t>ККК Георгий Семенович</t>
  </si>
  <si>
    <t>ККК Федор Николаевич</t>
  </si>
  <si>
    <t>ККК Николай Федорович</t>
  </si>
  <si>
    <t>ККК Иван Иванович</t>
  </si>
  <si>
    <t>БЕЕа (КККа) Соломония Феодоровна</t>
  </si>
  <si>
    <t>ККК Феодор Иванович</t>
  </si>
  <si>
    <t>ККК Иван Семенов(ич)</t>
  </si>
  <si>
    <t>ККК Осип Семенович</t>
  </si>
  <si>
    <t>ККК Петро (Петр) Семенов(ич)</t>
  </si>
  <si>
    <t>ККК Яков (Семенович)</t>
  </si>
  <si>
    <t>КККа Екат. (Екатерина) Сергеевна</t>
  </si>
  <si>
    <t>ККК Петр Семенович</t>
  </si>
  <si>
    <t>КККа Аксинья Петровна</t>
  </si>
  <si>
    <t>КККа Аксинья Пр...</t>
  </si>
  <si>
    <t>КККа Анна Андреевна</t>
  </si>
  <si>
    <t>КККа Евдокия Ивановна</t>
  </si>
  <si>
    <t>КККа Екатерина Сергеевна</t>
  </si>
  <si>
    <t>КККа Наталья Ивановна</t>
  </si>
  <si>
    <t>ШШШы, БББы, БЕЕы, КККы, ПППы</t>
  </si>
  <si>
    <t>ПППа Татьяна Алексеевна</t>
  </si>
  <si>
    <t>ППП Алексей Леонтьевич</t>
  </si>
  <si>
    <t>ПППа Пар* Кондратьевна</t>
  </si>
  <si>
    <t>ППП Василий Алексеевич</t>
  </si>
  <si>
    <t>ППП Алексей Андреевич</t>
  </si>
  <si>
    <t>ПППа Мария Дмитриевна</t>
  </si>
  <si>
    <t>Варвара Алексеевна ПППа</t>
  </si>
  <si>
    <t>Григорий Васильевич ППП</t>
  </si>
  <si>
    <t>ПППа Агафья Николаевна</t>
  </si>
  <si>
    <t>ППП Николай Матвеевич</t>
  </si>
  <si>
    <t>ПППа Анна Семеновна</t>
  </si>
  <si>
    <t>ПППа Агриппина Ильнична</t>
  </si>
  <si>
    <t>ПППа Анна Васильевна</t>
  </si>
  <si>
    <t>ПППа Анна Ивановна</t>
  </si>
  <si>
    <t>ППП Иван Ми?</t>
  </si>
  <si>
    <t>ПППа А? Николаевна</t>
  </si>
  <si>
    <t>ПППа Фекла Тимофеевна</t>
  </si>
  <si>
    <t>ППП Василий Сергеевич</t>
  </si>
  <si>
    <t>ППП Ефим Николаевич</t>
  </si>
  <si>
    <t>ППП Николай Михайлович</t>
  </si>
  <si>
    <t>ПППа ? Никитична</t>
  </si>
  <si>
    <t>ППП Павел Александрович</t>
  </si>
  <si>
    <t>ПППа Елена Ивановна</t>
  </si>
  <si>
    <t>ПППа Афанасия Васильевна</t>
  </si>
  <si>
    <t>дочь умершего отставного рядового ПППа Василия</t>
  </si>
  <si>
    <t>ППП Прокопий Кириллович</t>
  </si>
  <si>
    <t>ППП Александр Григорьевич</t>
  </si>
  <si>
    <t>ПППа Мария Ильинична</t>
  </si>
  <si>
    <t>ППП Илья Григорьевич</t>
  </si>
  <si>
    <t>ПППа Мария Трофимовна</t>
  </si>
  <si>
    <t>ППП Николай Григорьевич</t>
  </si>
  <si>
    <t>ПППа Феодосия Сименовна</t>
  </si>
  <si>
    <t>ПППа Матрона Федоровна</t>
  </si>
  <si>
    <t>ПППа Феодосия Сергеевна</t>
  </si>
  <si>
    <t>ППП Сергей Адрианов</t>
  </si>
  <si>
    <t>ППП Григорий Сергеевич</t>
  </si>
  <si>
    <t>ПППа Надежда Павловна</t>
  </si>
  <si>
    <t>ППП Павел</t>
  </si>
  <si>
    <t>ППП Алексей Кон?</t>
  </si>
  <si>
    <t>ППП Михаил ?</t>
  </si>
  <si>
    <t>ПППа Агафья Никифоровна</t>
  </si>
  <si>
    <t>ППП Трофим Никифорович</t>
  </si>
  <si>
    <t>ППП Павел Алексадрович</t>
  </si>
  <si>
    <t>ПППа Наталия Тимофеевна</t>
  </si>
  <si>
    <t>ППП Тимофей Матвеевич</t>
  </si>
  <si>
    <t>ППП Степан Даниилов</t>
  </si>
  <si>
    <t>ППП Степан Иванович</t>
  </si>
  <si>
    <t>ППП Петр Матвеевич</t>
  </si>
  <si>
    <t>ППП Иван Михайлович</t>
  </si>
  <si>
    <t>ППП Михаил</t>
  </si>
  <si>
    <t>ППП Никифор Андреевич</t>
  </si>
  <si>
    <t>ПППа Анастасия Данииловна</t>
  </si>
  <si>
    <t>ППП Даниил</t>
  </si>
  <si>
    <t>ПППа Анастасия Тимофеевна</t>
  </si>
  <si>
    <t>ППП Тимофей</t>
  </si>
  <si>
    <t>ППП Николай Иванович</t>
  </si>
  <si>
    <t>ППП Иван</t>
  </si>
  <si>
    <t>ППП Кондрат Егорович</t>
  </si>
  <si>
    <t>ППП Павел Петрович</t>
  </si>
  <si>
    <t>ППП Афанасий Лукин</t>
  </si>
  <si>
    <t>ППП Афанасий Лукин - отставной рядовой, Чеканин Георгий Петр - отставной унтер офицер</t>
  </si>
  <si>
    <t>ПППа Параскева Сафронова</t>
  </si>
  <si>
    <t>вдова ПППа Федора</t>
  </si>
  <si>
    <t>ПППа Ольга Павловна</t>
  </si>
  <si>
    <t>ППП Григорий Павлович</t>
  </si>
  <si>
    <t>ППП Михаил Андреевич</t>
  </si>
  <si>
    <t>ППП Мирон Каллистратович</t>
  </si>
  <si>
    <t>ППП Каллистрат</t>
  </si>
  <si>
    <t>ППП Семен ?</t>
  </si>
  <si>
    <t>ПППа Феодосия Семеновна</t>
  </si>
  <si>
    <t>ППП Семен</t>
  </si>
  <si>
    <t>ППП Василий Семенович</t>
  </si>
  <si>
    <t>ППП Григорий Ефимович</t>
  </si>
  <si>
    <t>ППП Петр Михайлович</t>
  </si>
  <si>
    <t>ППП Илья Андреевич</t>
  </si>
  <si>
    <t>ППП Григорий Васильевич</t>
  </si>
  <si>
    <t>ППП Федор Дмитриевич</t>
  </si>
  <si>
    <t>ППП Лев Андреевич</t>
  </si>
  <si>
    <t>ППП Яков Михайлович</t>
  </si>
  <si>
    <t>ППП Федор Игнатьевич</t>
  </si>
  <si>
    <t>ППП Андрей Михайлович</t>
  </si>
  <si>
    <t>ППП Андрей Михайлович малой</t>
  </si>
  <si>
    <t>ППП Ефим Федорович</t>
  </si>
  <si>
    <t>ППП Михайло Иванович</t>
  </si>
  <si>
    <t>ППП Борис Михайлович</t>
  </si>
  <si>
    <t>ППП Дмитрей Борисович</t>
  </si>
  <si>
    <t>ППП Андрей Алексеевич</t>
  </si>
  <si>
    <t>ППП Михайло Данилович</t>
  </si>
  <si>
    <t>ППП Алексей Ник (Николаевич)</t>
  </si>
  <si>
    <t>ППП Алексей?</t>
  </si>
  <si>
    <t>ППП Арте? (Андрей?) Нико(лаевич)</t>
  </si>
  <si>
    <t>ППП Василей Семенов(ич)</t>
  </si>
  <si>
    <t>ППП Григо(рий) Серге(евич)</t>
  </si>
  <si>
    <t>ППП Митри (Дмитрий) Алек</t>
  </si>
  <si>
    <t>ППП Егор Нико(лаевич)</t>
  </si>
  <si>
    <t>ППП Емельян? К.</t>
  </si>
  <si>
    <t>ППП Иван Вас(ильевич)</t>
  </si>
  <si>
    <t>ППП Иван Ивано(вич)</t>
  </si>
  <si>
    <t>ППП Иван Кост (Константинович)</t>
  </si>
  <si>
    <t>ППП Иван Матвееви(ч)</t>
  </si>
  <si>
    <t>ППП Михайл (Михаил) Дим. (Дмитриевич)</t>
  </si>
  <si>
    <t>ППП Михаил Захарович</t>
  </si>
  <si>
    <t>ППП Михаил И(ванович)</t>
  </si>
  <si>
    <t>ППП Никит(а) Егор(ович)</t>
  </si>
  <si>
    <t>ППП Никифор Андри (Андреевич)</t>
  </si>
  <si>
    <t>ППП Никифор Купре. (Киприанович)</t>
  </si>
  <si>
    <t>ППП Николай Григор(ьевич)</t>
  </si>
  <si>
    <t>ППП Николай Илич (Ильич)</t>
  </si>
  <si>
    <t>ППП Микуло (Николай) Мха (Михайлович)</t>
  </si>
  <si>
    <t>Попоков? (ППП?) Николай</t>
  </si>
  <si>
    <t>ППП Осип</t>
  </si>
  <si>
    <t>ППП Павел Александр(ович)</t>
  </si>
  <si>
    <t>ППП Павел Захра (Захарович)</t>
  </si>
  <si>
    <t>ППП Петр Васил. (Васильевич)</t>
  </si>
  <si>
    <t>ППП Спир. (Спиридон) Сергеев. (Сергеевич)</t>
  </si>
  <si>
    <t>ППП Филип(п) (неразборчиво)</t>
  </si>
  <si>
    <t>ППП Яков Ивано(вич)</t>
  </si>
  <si>
    <t>ПППа Авдотья (Евдокия)</t>
  </si>
  <si>
    <t>ПППа Анфиса Фил</t>
  </si>
  <si>
    <t>ПППа Пара(сковья) Прокоп(ьевна)</t>
  </si>
  <si>
    <t>ППП Александр Николаевич</t>
  </si>
  <si>
    <t>ППП Алексей Захарович</t>
  </si>
  <si>
    <t>ППП Алексей Константинович</t>
  </si>
  <si>
    <t>ППП Андрей Григорьевич</t>
  </si>
  <si>
    <t>ППП Андрей Николаевич</t>
  </si>
  <si>
    <t>ППП Афонасий Яковлевич</t>
  </si>
  <si>
    <t>ППП Василий Никифорович</t>
  </si>
  <si>
    <t>ППП Григорий Михайлович</t>
  </si>
  <si>
    <t>ППП Дмитрей Алекс.</t>
  </si>
  <si>
    <t>ППП Егор Николаевич</t>
  </si>
  <si>
    <t>ППП Иван Афонасьевич</t>
  </si>
  <si>
    <t>ППП Иван Иванович</t>
  </si>
  <si>
    <t>ППП Иван Калистратович</t>
  </si>
  <si>
    <t>ППП Иван Константинович</t>
  </si>
  <si>
    <t>ППП Иван Матвеевич</t>
  </si>
  <si>
    <t>ППП Кирилл</t>
  </si>
  <si>
    <t>ППП Михаил Иванович</t>
  </si>
  <si>
    <t>ППП Михаил Дмитриевич</t>
  </si>
  <si>
    <t>ППП Никита Егорович</t>
  </si>
  <si>
    <t>ППП Никифор Киприанович</t>
  </si>
  <si>
    <t>ППП Николай Ильич</t>
  </si>
  <si>
    <t>ППП Николай Николаевич</t>
  </si>
  <si>
    <t>ППП Николай Сергеевич</t>
  </si>
  <si>
    <t>ППП Николай</t>
  </si>
  <si>
    <t>ППП Павел Васильевич</t>
  </si>
  <si>
    <t>ППП Павел Захарович</t>
  </si>
  <si>
    <t>ППП Павел Яковлевич</t>
  </si>
  <si>
    <t>ППП Петр Васильевич</t>
  </si>
  <si>
    <t>ППП Тимофей Иванович</t>
  </si>
  <si>
    <t>ППП Тимофей Яковлевич</t>
  </si>
  <si>
    <t>ППП Филипп Никифорович</t>
  </si>
  <si>
    <t>ППП Яков Иванович</t>
  </si>
  <si>
    <t>ПППа Авдотья Васильевна</t>
  </si>
  <si>
    <t>ПППа Акулина</t>
  </si>
  <si>
    <t>ППП Александра Сам.</t>
  </si>
  <si>
    <t>ПППа Анастасия Даниловна</t>
  </si>
  <si>
    <t>ПППа Анастасия Максимовна</t>
  </si>
  <si>
    <t>ПППа Анастасия Павловна</t>
  </si>
  <si>
    <t>ПППа Анисья Васильевна</t>
  </si>
  <si>
    <t>ПППа Анна Ильинична</t>
  </si>
  <si>
    <t>ПППа Анна Никандровна</t>
  </si>
  <si>
    <t>ПППа Анфисья Фил.</t>
  </si>
  <si>
    <t>ПППа Варвара Ивановна</t>
  </si>
  <si>
    <t>ПППа Варвара Матвеевна</t>
  </si>
  <si>
    <t>ПППа Евдокия Васильевна</t>
  </si>
  <si>
    <t>ПППа Евдокия Фил.</t>
  </si>
  <si>
    <t>ПППа Екатерина Максимовна</t>
  </si>
  <si>
    <t>ПППа Елизавета Ивановна</t>
  </si>
  <si>
    <t>ПППа Крестина Николаевна</t>
  </si>
  <si>
    <t>ПППа Лук. Аф.</t>
  </si>
  <si>
    <t>ПППа Мария Сергеевна</t>
  </si>
  <si>
    <t>ПППа Мария</t>
  </si>
  <si>
    <t>ПППа Марфа Харлам.</t>
  </si>
  <si>
    <t>ПППа Матрена Семеновна</t>
  </si>
  <si>
    <t>ПППа Настасья Михайловна</t>
  </si>
  <si>
    <t>ПППа Настасья Николаевна</t>
  </si>
  <si>
    <t>ПППа Парасковья Васильевна</t>
  </si>
  <si>
    <t>ПППа Пелагея Андреевна</t>
  </si>
  <si>
    <t>ПППа Пелагея Яковлевна</t>
  </si>
  <si>
    <t>ПППа Степанида Павловна</t>
  </si>
  <si>
    <t>ПППа Таисья Николаевна</t>
  </si>
  <si>
    <t>Быстрый поиск ШШШ Петр, Мария Ильинична, Олимпиада - без результата</t>
  </si>
  <si>
    <t>ШШШы, БББы, БЕЕы. Добавлена фамилия КККы с 022, ЧЧЧы с 031а</t>
  </si>
  <si>
    <t>жена ЧЧЧа Петра Агафья Нахайлова</t>
  </si>
  <si>
    <t>ЧЧЧ Николай Ми?</t>
  </si>
  <si>
    <t>ШШШы, БББы, БЕЕы, КККы, ЧЧЧы</t>
  </si>
  <si>
    <t>ЧЧЧ Павел Ефимович</t>
  </si>
  <si>
    <t>ЧЧЧ Ефим Иванович</t>
  </si>
  <si>
    <t>ЧЧЧа Анастасия Алексеевна</t>
  </si>
  <si>
    <t>ЧЧЧ Михаил Иванович</t>
  </si>
  <si>
    <t>ЧЧЧ Марина Дмитриевна</t>
  </si>
  <si>
    <t>ЧЧЧ Дмитрий Сергеевич</t>
  </si>
  <si>
    <t>ЧЧЧа Мария Ивановна</t>
  </si>
  <si>
    <t>ЧЧЧ Андрей Иванович</t>
  </si>
  <si>
    <t>ЧЧЧ Сергей Степанович</t>
  </si>
  <si>
    <t>ЧЧЧ Александр Николаевич</t>
  </si>
  <si>
    <t>ЧЧЧ Николай Михайлович</t>
  </si>
  <si>
    <t>ЧЧЧа Мария Прокопьевна</t>
  </si>
  <si>
    <t>Николай Михайлович ЧЧЧ</t>
  </si>
  <si>
    <t>ЧЧЧа Афанасия Петровна</t>
  </si>
  <si>
    <t>ЧЧЧ Николай Александрович</t>
  </si>
  <si>
    <t>ЧЧЧ Михаил</t>
  </si>
  <si>
    <t>ЧЧЧ Василий Николаевич</t>
  </si>
  <si>
    <t>ЧЧЧ Николай Алексеевич</t>
  </si>
  <si>
    <t>ЧЧЧ Иван Петрович</t>
  </si>
  <si>
    <t>ЧЧЧ Федор Андреевич</t>
  </si>
  <si>
    <t>ЧЧЧ Родион Лукич</t>
  </si>
  <si>
    <t>ЧЧЧ Архип Андреевич</t>
  </si>
  <si>
    <t>ЧЧЧ Василий Архипович</t>
  </si>
  <si>
    <t>ЧЧЧ Иван Кондратьевич</t>
  </si>
  <si>
    <t>ЧЧЧ Евсей Ивойлович</t>
  </si>
  <si>
    <t>ЧЧЧ Лука Миньевич</t>
  </si>
  <si>
    <t>ЧЧЧ Федор Миньевич</t>
  </si>
  <si>
    <t>ЧЧЧ Харлампий Федорович</t>
  </si>
  <si>
    <t>ЧЧЧ Саватей Лукич</t>
  </si>
  <si>
    <t>ЧЧЧ Александр Алексеевич</t>
  </si>
  <si>
    <t>ЧЧЧ Архип Адреевич</t>
  </si>
  <si>
    <t>ЧЧЧ Кондратий Дмитриевич</t>
  </si>
  <si>
    <t>ЧЧЧ Мартын Дмитриевич</t>
  </si>
  <si>
    <t>ЧЧЧ Федор Никонович</t>
  </si>
  <si>
    <t>Чюхарев (ЧЧЧ) Федор Андреевич</t>
  </si>
  <si>
    <t>Чюхарев (ЧЧЧ) Лука Андреевич</t>
  </si>
  <si>
    <t>Чюхарев (ЧЧЧ) Архип Андреевич</t>
  </si>
  <si>
    <t>Чюхарев (ЧЧЧ) Кондратей Дмитриевич</t>
  </si>
  <si>
    <t>Чюхарев (ЧЧЧ) Иев Дмитриевич</t>
  </si>
  <si>
    <t>Чюхарев (ЧЧЧ) Мартын Дмитриевич</t>
  </si>
  <si>
    <t>Чюхарев (ЧЧЧ) Миней Дмитриевич</t>
  </si>
  <si>
    <t>Чюхарев (ЧЧЧ) Федор Минеевич</t>
  </si>
  <si>
    <t>Чюхарев (ЧЧЧ) Федор Никонович</t>
  </si>
  <si>
    <t>ЧЧЧ Алексан(др) Сергее(вич)</t>
  </si>
  <si>
    <t>ЧЧЧ Алексей Петрович</t>
  </si>
  <si>
    <t>ЧЧЧ Андрей Арсеньт (Арсентьевич)</t>
  </si>
  <si>
    <t>ЧЧЧ Афонасий Александ. (Александрович)</t>
  </si>
  <si>
    <t>ЧЧЧа Афон. (Афонасия) Васил. (Васильевна)</t>
  </si>
  <si>
    <t>ЧЧЧ Васил. (Василий) Никол. (Николаевич)</t>
  </si>
  <si>
    <t>ЧЧЧ Вас. (Василий) Федор. (Федорович)</t>
  </si>
  <si>
    <t>ЧЧЧ Григор. (Григорий) Павлович</t>
  </si>
  <si>
    <t>ЧЧЧ Григорей Петров(ич)</t>
  </si>
  <si>
    <t>ЧЧЧа Дар(ь)я Ивановна</t>
  </si>
  <si>
    <t>ЧЧЧ Егор Иван(ович)</t>
  </si>
  <si>
    <t>ЧЧЧ Иван Артемич (Артемьевич)</t>
  </si>
  <si>
    <t>ЧЧЧ Иван Иванов(ич)</t>
  </si>
  <si>
    <t>ЧЧЧ Иван Никифоров(ич)</t>
  </si>
  <si>
    <t>ЧЧЧ Иван Сергее(вич)</t>
  </si>
  <si>
    <t>ЧЧЧ Иван Сергеич (Сергеевич)</t>
  </si>
  <si>
    <t>ЧЧЧ Иван Степ(анович)</t>
  </si>
  <si>
    <t>ЧЧЧ Иван</t>
  </si>
  <si>
    <t>ЧЧЧ Матв. (Матвей) Григорич (Григорьевич)</t>
  </si>
  <si>
    <t>ЧЧЧ Михаил Григор(ьевич)</t>
  </si>
  <si>
    <t>ЧЧЧ Михаил Петров. (Петрович)</t>
  </si>
  <si>
    <t>ЧЧЧ Никонор (Никанор)</t>
  </si>
  <si>
    <t>ЧЧЧ Никита Никиф. (Никифорович)</t>
  </si>
  <si>
    <t>ЧЧЧ Николай Мих. (Михайлович)</t>
  </si>
  <si>
    <t>ЧЧЧ Павел Гравов (Евграфович)</t>
  </si>
  <si>
    <t>ЧЧЧ Петр Иванович</t>
  </si>
  <si>
    <t>ЧЧЧ Петр Павлов(ич)</t>
  </si>
  <si>
    <t>ЧЧЧ Семен Иван. (Иванович)</t>
  </si>
  <si>
    <t>Чухар. (ЧЧЧ) Семен Иванович</t>
  </si>
  <si>
    <t>ЧЧЧ Сергей Серге. (Сергеевич)</t>
  </si>
  <si>
    <t>ЧЧЧ Сергей Степа. (Степанович)</t>
  </si>
  <si>
    <t>ЧЧЧ Степан С(ергеевич)</t>
  </si>
  <si>
    <t>ЧЧЧ Тим. (Тимофей) Алек.</t>
  </si>
  <si>
    <t>ЧЧЧ Федор (Артемьевич)</t>
  </si>
  <si>
    <t>ЧЧЧ Федор Егорович</t>
  </si>
  <si>
    <t>ЧЧЧ Яков Алек(сеевич)</t>
  </si>
  <si>
    <t>ЧЧЧ Яков Арсент. (Арсентьевич)</t>
  </si>
  <si>
    <t>ЧЧЧ Яков Ивано(вич)</t>
  </si>
  <si>
    <t>ЧЧЧ Яков Николае(вич)</t>
  </si>
  <si>
    <t>ЧЧЧа Алан.  Тимоф(еевна)</t>
  </si>
  <si>
    <t>ЧЧЧа Настасья (Анастасия) Алек (Алекс.)</t>
  </si>
  <si>
    <t>ЧЧЧа Наст. (Анастасия) Тих. (Тихоновна)</t>
  </si>
  <si>
    <t>ЧЧЧа Анна Яковлевна</t>
  </si>
  <si>
    <t>ЧЧЧа Орина (Ирина) Иванов(на)</t>
  </si>
  <si>
    <t>ЧЧЧа Марья (Мария)</t>
  </si>
  <si>
    <t>ЧЧЧ Афонасий Александрович</t>
  </si>
  <si>
    <t>ЧЧЧ А(лексей) Петрович</t>
  </si>
  <si>
    <t>ЧЧЧ Василий Иванович</t>
  </si>
  <si>
    <t>ЧЧЧ Василий Степанович</t>
  </si>
  <si>
    <t>ЧЧЧ Василий Федорович</t>
  </si>
  <si>
    <t>ЧЧЧ Григорий Павлович</t>
  </si>
  <si>
    <t>ЧЧЧ Григорий Петрович</t>
  </si>
  <si>
    <t>ЧЧЧ Григорий</t>
  </si>
  <si>
    <t>ЧЧЧ Егор Иванович</t>
  </si>
  <si>
    <t>ЧЧЧ Игнатий Иванович</t>
  </si>
  <si>
    <t>ЧЧЧ Иван Иванович</t>
  </si>
  <si>
    <t>ЧЧЧ Иван Никифорович</t>
  </si>
  <si>
    <t>ЧЧЧ Иван Николаевич</t>
  </si>
  <si>
    <t>ЧЧЧ Иван Сергеевич</t>
  </si>
  <si>
    <t>ЧЧЧ Иван Степанович</t>
  </si>
  <si>
    <t>ЧЧЧ Илья Петрович</t>
  </si>
  <si>
    <t>ЧЧЧ Кирилл Михайлович</t>
  </si>
  <si>
    <t>ЧЧЧ Максим Степанович</t>
  </si>
  <si>
    <t>ЧЧЧ Матвей Григорьевич</t>
  </si>
  <si>
    <t>ЧЧЧ Михаил Григорьевич</t>
  </si>
  <si>
    <t>ЧЧЧ Михаил Петрович</t>
  </si>
  <si>
    <t>ЧЧЧ Никанор</t>
  </si>
  <si>
    <t>ЧЧЧ Никита Никифорович</t>
  </si>
  <si>
    <t>ЧЧЧ Николай</t>
  </si>
  <si>
    <t>ЧЧЧ Павел Григорьевич</t>
  </si>
  <si>
    <t>ЧЧЧ Павел Евграфович</t>
  </si>
  <si>
    <t>ЧЧЧ Петр Павлович</t>
  </si>
  <si>
    <t>ЧЧЧ Петр Яковлевич</t>
  </si>
  <si>
    <t>ЧЧЧ Семен Николаевич</t>
  </si>
  <si>
    <t>ЧЧЧ Сергей</t>
  </si>
  <si>
    <t>ЧЧЧ Степан Петрович</t>
  </si>
  <si>
    <t>ЧЧЧ Степан Сергеевич</t>
  </si>
  <si>
    <t>ЧЧЧ С. Михайлович</t>
  </si>
  <si>
    <t>ЧЧЧ Тихон Петрович</t>
  </si>
  <si>
    <t>ЧЧЧ Федор Артемьевич</t>
  </si>
  <si>
    <t>ЧЧЧ Федор</t>
  </si>
  <si>
    <t>ЧЧЧ Яков Алексеевич</t>
  </si>
  <si>
    <t>ЧЧЧ Яков Арсентьевич</t>
  </si>
  <si>
    <t>ЧЧЧ Яков Иванович</t>
  </si>
  <si>
    <t>ЧЧЧ</t>
  </si>
  <si>
    <t>ЧЧЧа Авдотья Алекс.</t>
  </si>
  <si>
    <t>ЧЧЧа Авдотья</t>
  </si>
  <si>
    <t>ЧЧЧа Агатия Тимофеевна</t>
  </si>
  <si>
    <t>ЧЧЧа Агафья Ивановна</t>
  </si>
  <si>
    <t>ЧЧЧа Анастасия Тихоновна</t>
  </si>
  <si>
    <t>ЧЧЧа Анастасия (Алекс.)</t>
  </si>
  <si>
    <t>ЧЧЧа Анисья Алекс.</t>
  </si>
  <si>
    <t>ЧЧЧа Анна Васильевна</t>
  </si>
  <si>
    <t>ЧЧЧа Анна Ивановна</t>
  </si>
  <si>
    <t>ЧЧЧа Афонасья Григорьевна</t>
  </si>
  <si>
    <t>ЧЧЧа Афонасья Петровна</t>
  </si>
  <si>
    <t>ЧЧЧа А. Яковлевна</t>
  </si>
  <si>
    <t>ЧЧЧа Дарья Ивановна</t>
  </si>
  <si>
    <t>ЧЧЧа Евдокия Андреевна</t>
  </si>
  <si>
    <t>ЧЧЧа Елена Павловна</t>
  </si>
  <si>
    <t>ЧЧЧа Ирина (Ивановна)</t>
  </si>
  <si>
    <t>ЧЧЧа Ксения Григорьевна</t>
  </si>
  <si>
    <t>ЧЧЧа Ксения Ивановна</t>
  </si>
  <si>
    <t>ЧЧЧа Мария Григорьевна</t>
  </si>
  <si>
    <t>ЧЧЧа Мария Николаевна</t>
  </si>
  <si>
    <t>ЧЧЧа Мария Степановна</t>
  </si>
  <si>
    <t>ЧЧЧа Настасья Васильевна</t>
  </si>
  <si>
    <t>ЧЧЧа Настасья Григорьевна</t>
  </si>
  <si>
    <t>ЧЧЧа Наталья Ивановна</t>
  </si>
  <si>
    <t>ЧЧЧа Наталья Петровна</t>
  </si>
  <si>
    <t>ЧЧЧа Пелагея Ивановна</t>
  </si>
  <si>
    <t>ЧЧЧа Федора Сергеевна</t>
  </si>
  <si>
    <t>ЧЧЧа Федосья Максимовна</t>
  </si>
  <si>
    <t>ЧЧЧа Юлья Васильевна</t>
  </si>
  <si>
    <t>121а 003. Дальше быстрый поиск ШШШ Петра и Олимпиады - не найдено</t>
  </si>
  <si>
    <t>Все новые данные/правки вносятся на базовых листах "Родившиеся","Бракосочетавшиеся","Умершие", а уже путем нажатии кнопки "Обновить данные" на "Все найденные персоны" переносятся туда.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</si>
</sst>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m\/yyyy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strike/>
      <sz val="10"/>
      <color theme="1"/>
      <name val="Times New Roman"/>
      <family val="1"/>
      <charset val="204"/>
    </font>
    <font>
      <sz val="9"/>
      <color rgb="FF000000"/>
      <name val="Verdana"/>
      <family val="2"/>
      <charset val="204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204"/>
      <scheme val="minor"/>
    </font>
    <font>
      <sz val="10"/>
      <color rgb="FF000000"/>
      <name val="Arial Unicode MS"/>
      <charset val="204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4"/>
      </top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/>
      </bottom>
      <diagonal/>
    </border>
    <border>
      <left style="thin">
        <color indexed="64"/>
      </left>
      <right style="thin">
        <color theme="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4"/>
      </right>
      <top style="thin">
        <color indexed="64"/>
      </top>
      <bottom style="thin">
        <color theme="4"/>
      </bottom>
      <diagonal/>
    </border>
    <border>
      <left style="thin">
        <color theme="4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352">
    <xf numFmtId="0" fontId="0" fillId="0" borderId="0" xfId="0"/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0" xfId="0" applyFill="1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12" xfId="0" applyBorder="1" applyAlignment="1">
      <alignment wrapText="1"/>
    </xf>
    <xf numFmtId="0" fontId="0" fillId="0" borderId="0" xfId="0" applyBorder="1" applyAlignment="1"/>
    <xf numFmtId="0" fontId="0" fillId="0" borderId="5" xfId="0" applyNumberFormat="1" applyBorder="1"/>
    <xf numFmtId="0" fontId="0" fillId="0" borderId="0" xfId="0" applyNumberFormat="1"/>
    <xf numFmtId="0" fontId="16" fillId="0" borderId="0" xfId="0" applyFont="1"/>
    <xf numFmtId="0" fontId="0" fillId="0" borderId="14" xfId="0" applyBorder="1"/>
    <xf numFmtId="0" fontId="0" fillId="0" borderId="15" xfId="0" applyBorder="1"/>
    <xf numFmtId="0" fontId="0" fillId="0" borderId="11" xfId="0" applyBorder="1" applyAlignment="1">
      <alignment wrapText="1"/>
    </xf>
    <xf numFmtId="0" fontId="17" fillId="0" borderId="5" xfId="0" applyFont="1" applyBorder="1"/>
    <xf numFmtId="0" fontId="17" fillId="0" borderId="6" xfId="0" applyFont="1" applyBorder="1"/>
    <xf numFmtId="0" fontId="16" fillId="0" borderId="5" xfId="0" applyFont="1" applyBorder="1"/>
    <xf numFmtId="0" fontId="21" fillId="0" borderId="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textRotation="90" wrapText="1"/>
    </xf>
    <xf numFmtId="0" fontId="21" fillId="0" borderId="2" xfId="0" applyFont="1" applyBorder="1" applyAlignment="1">
      <alignment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19" xfId="0" applyFont="1" applyBorder="1" applyAlignment="1">
      <alignment vertical="center" wrapText="1"/>
    </xf>
    <xf numFmtId="12" fontId="20" fillId="0" borderId="19" xfId="0" applyNumberFormat="1" applyFont="1" applyBorder="1" applyAlignment="1">
      <alignment horizontal="center" vertical="center" wrapText="1"/>
    </xf>
    <xf numFmtId="0" fontId="20" fillId="0" borderId="20" xfId="0" applyFont="1" applyBorder="1" applyAlignment="1">
      <alignment horizontal="center" vertical="center" wrapText="1"/>
    </xf>
    <xf numFmtId="0" fontId="22" fillId="0" borderId="19" xfId="0" applyFont="1" applyBorder="1" applyAlignment="1">
      <alignment horizontal="center" vertical="center" wrapText="1"/>
    </xf>
    <xf numFmtId="13" fontId="20" fillId="0" borderId="19" xfId="0" applyNumberFormat="1" applyFont="1" applyBorder="1" applyAlignment="1">
      <alignment horizontal="center" vertical="center" wrapText="1"/>
    </xf>
    <xf numFmtId="0" fontId="0" fillId="0" borderId="5" xfId="0" applyBorder="1" applyAlignment="1"/>
    <xf numFmtId="0" fontId="20" fillId="0" borderId="5" xfId="0" applyFont="1" applyBorder="1" applyAlignment="1">
      <alignment vertical="center"/>
    </xf>
    <xf numFmtId="0" fontId="0" fillId="0" borderId="0" xfId="0" applyAlignment="1"/>
    <xf numFmtId="0" fontId="14" fillId="0" borderId="5" xfId="0" applyFont="1" applyBorder="1" applyAlignment="1">
      <alignment horizontal="center" vertical="center"/>
    </xf>
    <xf numFmtId="0" fontId="16" fillId="0" borderId="5" xfId="0" applyFont="1" applyBorder="1" applyAlignment="1">
      <alignment vertical="center"/>
    </xf>
    <xf numFmtId="0" fontId="14" fillId="0" borderId="5" xfId="0" applyFont="1" applyBorder="1" applyAlignment="1"/>
    <xf numFmtId="0" fontId="14" fillId="0" borderId="5" xfId="0" applyFont="1" applyBorder="1" applyAlignment="1">
      <alignment vertical="center"/>
    </xf>
    <xf numFmtId="0" fontId="23" fillId="0" borderId="0" xfId="0" applyFont="1" applyAlignment="1">
      <alignment horizontal="justify" vertical="center"/>
    </xf>
    <xf numFmtId="0" fontId="23" fillId="0" borderId="0" xfId="0" applyFont="1" applyAlignment="1">
      <alignment horizontal="left" vertical="center"/>
    </xf>
    <xf numFmtId="0" fontId="16" fillId="0" borderId="0" xfId="0" applyNumberFormat="1" applyFont="1"/>
    <xf numFmtId="0" fontId="13" fillId="0" borderId="5" xfId="0" applyFont="1" applyBorder="1" applyAlignment="1">
      <alignment vertical="center"/>
    </xf>
    <xf numFmtId="0" fontId="0" fillId="0" borderId="23" xfId="0" applyBorder="1"/>
    <xf numFmtId="0" fontId="0" fillId="0" borderId="12" xfId="0" applyBorder="1"/>
    <xf numFmtId="0" fontId="12" fillId="0" borderId="5" xfId="0" applyFont="1" applyBorder="1" applyAlignment="1">
      <alignment vertical="center"/>
    </xf>
    <xf numFmtId="49" fontId="0" fillId="0" borderId="0" xfId="0" applyNumberFormat="1" applyFill="1" applyBorder="1"/>
    <xf numFmtId="49" fontId="0" fillId="0" borderId="5" xfId="0" applyNumberFormat="1" applyBorder="1"/>
    <xf numFmtId="0" fontId="17" fillId="0" borderId="5" xfId="0" applyFont="1" applyBorder="1" applyAlignment="1">
      <alignment wrapText="1"/>
    </xf>
    <xf numFmtId="0" fontId="0" fillId="0" borderId="1" xfId="0" applyBorder="1" applyAlignment="1"/>
    <xf numFmtId="0" fontId="0" fillId="0" borderId="15" xfId="0" applyBorder="1" applyAlignment="1"/>
    <xf numFmtId="0" fontId="17" fillId="0" borderId="15" xfId="0" applyFont="1" applyBorder="1" applyAlignment="1"/>
    <xf numFmtId="0" fontId="0" fillId="0" borderId="26" xfId="0" applyBorder="1" applyAlignment="1"/>
    <xf numFmtId="164" fontId="0" fillId="0" borderId="1" xfId="0" applyNumberFormat="1" applyBorder="1"/>
    <xf numFmtId="164" fontId="0" fillId="0" borderId="5" xfId="0" applyNumberFormat="1" applyBorder="1"/>
    <xf numFmtId="164" fontId="0" fillId="0" borderId="23" xfId="0" applyNumberFormat="1" applyBorder="1"/>
    <xf numFmtId="164" fontId="0" fillId="0" borderId="0" xfId="0" applyNumberFormat="1"/>
    <xf numFmtId="164" fontId="0" fillId="0" borderId="9" xfId="0" applyNumberFormat="1" applyBorder="1"/>
    <xf numFmtId="49" fontId="0" fillId="0" borderId="23" xfId="0" applyNumberFormat="1" applyBorder="1"/>
    <xf numFmtId="0" fontId="11" fillId="0" borderId="5" xfId="0" applyFont="1" applyBorder="1" applyAlignment="1">
      <alignment vertical="center"/>
    </xf>
    <xf numFmtId="0" fontId="0" fillId="0" borderId="3" xfId="0" applyBorder="1"/>
    <xf numFmtId="0" fontId="0" fillId="0" borderId="3" xfId="0" applyBorder="1" applyAlignment="1"/>
    <xf numFmtId="0" fontId="0" fillId="0" borderId="27" xfId="0" applyBorder="1"/>
    <xf numFmtId="0" fontId="0" fillId="0" borderId="27" xfId="0" applyBorder="1" applyAlignment="1"/>
    <xf numFmtId="0" fontId="0" fillId="0" borderId="27" xfId="0" applyFill="1" applyBorder="1"/>
    <xf numFmtId="0" fontId="0" fillId="0" borderId="27" xfId="0" applyNumberFormat="1" applyBorder="1"/>
    <xf numFmtId="0" fontId="0" fillId="0" borderId="3" xfId="0" applyNumberFormat="1" applyBorder="1"/>
    <xf numFmtId="0" fontId="0" fillId="0" borderId="14" xfId="0" applyBorder="1" applyAlignment="1"/>
    <xf numFmtId="0" fontId="15" fillId="0" borderId="15" xfId="0" applyFont="1" applyBorder="1" applyAlignment="1"/>
    <xf numFmtId="0" fontId="25" fillId="0" borderId="5" xfId="0" applyFont="1" applyBorder="1"/>
    <xf numFmtId="0" fontId="26" fillId="2" borderId="5" xfId="0" applyFont="1" applyFill="1" applyBorder="1" applyAlignment="1">
      <alignment horizontal="left" vertical="center"/>
    </xf>
    <xf numFmtId="0" fontId="17" fillId="0" borderId="5" xfId="0" applyFont="1" applyBorder="1" applyAlignment="1"/>
    <xf numFmtId="0" fontId="0" fillId="0" borderId="10" xfId="0" applyBorder="1" applyAlignment="1"/>
    <xf numFmtId="0" fontId="0" fillId="0" borderId="13" xfId="0" applyBorder="1" applyAlignment="1"/>
    <xf numFmtId="0" fontId="15" fillId="0" borderId="28" xfId="0" applyFont="1" applyBorder="1" applyAlignment="1">
      <alignment wrapText="1"/>
    </xf>
    <xf numFmtId="0" fontId="0" fillId="0" borderId="0" xfId="0" applyFill="1" applyBorder="1" applyAlignment="1"/>
    <xf numFmtId="0" fontId="16" fillId="0" borderId="15" xfId="0" applyFont="1" applyBorder="1" applyAlignment="1"/>
    <xf numFmtId="0" fontId="10" fillId="0" borderId="28" xfId="0" applyFont="1" applyBorder="1" applyAlignment="1">
      <alignment wrapText="1"/>
    </xf>
    <xf numFmtId="0" fontId="0" fillId="0" borderId="0" xfId="0" applyFill="1"/>
    <xf numFmtId="0" fontId="17" fillId="0" borderId="5" xfId="0" applyFont="1" applyFill="1" applyBorder="1" applyAlignment="1"/>
    <xf numFmtId="0" fontId="0" fillId="0" borderId="29" xfId="0" applyBorder="1"/>
    <xf numFmtId="0" fontId="0" fillId="0" borderId="13" xfId="0" applyBorder="1"/>
    <xf numFmtId="0" fontId="0" fillId="0" borderId="30" xfId="0" applyBorder="1"/>
    <xf numFmtId="0" fontId="0" fillId="0" borderId="7" xfId="0" applyNumberFormat="1" applyBorder="1"/>
    <xf numFmtId="0" fontId="0" fillId="0" borderId="32" xfId="0" applyNumberFormat="1" applyBorder="1"/>
    <xf numFmtId="0" fontId="0" fillId="0" borderId="14" xfId="0" applyFill="1" applyBorder="1"/>
    <xf numFmtId="0" fontId="0" fillId="0" borderId="14" xfId="0" applyFill="1" applyBorder="1" applyAlignment="1"/>
    <xf numFmtId="0" fontId="0" fillId="0" borderId="15" xfId="0" applyFill="1" applyBorder="1"/>
    <xf numFmtId="0" fontId="0" fillId="0" borderId="8" xfId="0" applyBorder="1" applyAlignment="1"/>
    <xf numFmtId="0" fontId="0" fillId="3" borderId="0" xfId="0" applyFill="1" applyBorder="1"/>
    <xf numFmtId="0" fontId="16" fillId="0" borderId="35" xfId="0" applyFont="1" applyBorder="1" applyAlignment="1">
      <alignment vertical="center"/>
    </xf>
    <xf numFmtId="0" fontId="17" fillId="3" borderId="0" xfId="0" applyFont="1" applyFill="1" applyBorder="1"/>
    <xf numFmtId="0" fontId="10" fillId="3" borderId="0" xfId="0" applyFont="1" applyFill="1" applyBorder="1"/>
    <xf numFmtId="0" fontId="0" fillId="3" borderId="0" xfId="0" quotePrefix="1" applyFill="1" applyBorder="1"/>
    <xf numFmtId="0" fontId="27" fillId="3" borderId="0" xfId="0" applyFont="1" applyFill="1" applyBorder="1"/>
    <xf numFmtId="0" fontId="20" fillId="0" borderId="18" xfId="0" applyFont="1" applyBorder="1" applyAlignment="1">
      <alignment vertical="center" wrapText="1"/>
    </xf>
    <xf numFmtId="0" fontId="16" fillId="3" borderId="0" xfId="0" applyFont="1" applyFill="1" applyBorder="1"/>
    <xf numFmtId="0" fontId="9" fillId="0" borderId="5" xfId="0" applyFont="1" applyBorder="1"/>
    <xf numFmtId="0" fontId="9" fillId="0" borderId="5" xfId="0" applyFont="1" applyBorder="1" applyAlignment="1">
      <alignment vertical="center"/>
    </xf>
    <xf numFmtId="0" fontId="28" fillId="0" borderId="0" xfId="1" applyFont="1" applyBorder="1" applyAlignment="1">
      <alignment horizontal="center"/>
    </xf>
    <xf numFmtId="0" fontId="28" fillId="0" borderId="20" xfId="1" applyFont="1" applyBorder="1" applyAlignment="1">
      <alignment horizontal="center"/>
    </xf>
    <xf numFmtId="0" fontId="9" fillId="0" borderId="37" xfId="0" applyFont="1" applyBorder="1"/>
    <xf numFmtId="0" fontId="9" fillId="0" borderId="3" xfId="0" applyFont="1" applyBorder="1"/>
    <xf numFmtId="0" fontId="9" fillId="0" borderId="0" xfId="0" applyFont="1" applyBorder="1"/>
    <xf numFmtId="0" fontId="9" fillId="0" borderId="20" xfId="0" applyFont="1" applyBorder="1"/>
    <xf numFmtId="0" fontId="9" fillId="0" borderId="0" xfId="0" applyFont="1"/>
    <xf numFmtId="0" fontId="28" fillId="0" borderId="0" xfId="1" applyFont="1" applyBorder="1" applyAlignment="1"/>
    <xf numFmtId="0" fontId="28" fillId="0" borderId="20" xfId="1" applyFont="1" applyBorder="1"/>
    <xf numFmtId="0" fontId="28" fillId="0" borderId="0" xfId="1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28" fillId="0" borderId="33" xfId="1" applyFont="1" applyBorder="1"/>
    <xf numFmtId="0" fontId="28" fillId="0" borderId="34" xfId="1" applyFont="1" applyBorder="1"/>
    <xf numFmtId="0" fontId="9" fillId="0" borderId="38" xfId="0" applyFont="1" applyBorder="1"/>
    <xf numFmtId="0" fontId="9" fillId="0" borderId="27" xfId="0" applyFont="1" applyBorder="1"/>
    <xf numFmtId="0" fontId="26" fillId="2" borderId="36" xfId="0" applyFont="1" applyFill="1" applyBorder="1" applyAlignment="1">
      <alignment horizontal="left" vertical="center"/>
    </xf>
    <xf numFmtId="0" fontId="9" fillId="0" borderId="3" xfId="0" applyFont="1" applyBorder="1" applyAlignment="1">
      <alignment vertical="center"/>
    </xf>
    <xf numFmtId="0" fontId="26" fillId="2" borderId="3" xfId="0" applyFont="1" applyFill="1" applyBorder="1" applyAlignment="1">
      <alignment horizontal="left" vertical="center"/>
    </xf>
    <xf numFmtId="0" fontId="9" fillId="0" borderId="6" xfId="0" applyFont="1" applyBorder="1" applyAlignment="1"/>
    <xf numFmtId="0" fontId="9" fillId="0" borderId="7" xfId="0" applyFont="1" applyBorder="1"/>
    <xf numFmtId="0" fontId="29" fillId="0" borderId="0" xfId="0" applyFont="1" applyAlignment="1">
      <alignment vertical="center"/>
    </xf>
    <xf numFmtId="0" fontId="26" fillId="2" borderId="5" xfId="0" applyFont="1" applyFill="1" applyBorder="1" applyAlignment="1">
      <alignment vertical="center"/>
    </xf>
    <xf numFmtId="0" fontId="9" fillId="0" borderId="20" xfId="0" applyFont="1" applyBorder="1" applyAlignment="1"/>
    <xf numFmtId="0" fontId="9" fillId="0" borderId="0" xfId="0" applyFont="1" applyAlignment="1"/>
    <xf numFmtId="0" fontId="0" fillId="0" borderId="5" xfId="0" applyFont="1" applyBorder="1"/>
    <xf numFmtId="0" fontId="0" fillId="4" borderId="5" xfId="0" applyFont="1" applyFill="1" applyBorder="1"/>
    <xf numFmtId="0" fontId="17" fillId="4" borderId="5" xfId="0" applyFont="1" applyFill="1" applyBorder="1"/>
    <xf numFmtId="0" fontId="25" fillId="4" borderId="5" xfId="0" applyFont="1" applyFill="1" applyBorder="1"/>
    <xf numFmtId="0" fontId="30" fillId="0" borderId="39" xfId="0" applyFont="1" applyBorder="1"/>
    <xf numFmtId="0" fontId="0" fillId="4" borderId="42" xfId="0" applyFont="1" applyFill="1" applyBorder="1"/>
    <xf numFmtId="0" fontId="0" fillId="0" borderId="42" xfId="0" applyFont="1" applyBorder="1"/>
    <xf numFmtId="0" fontId="30" fillId="0" borderId="40" xfId="0" applyFont="1" applyBorder="1"/>
    <xf numFmtId="0" fontId="0" fillId="4" borderId="43" xfId="0" applyFont="1" applyFill="1" applyBorder="1"/>
    <xf numFmtId="0" fontId="0" fillId="0" borderId="47" xfId="0" applyFont="1" applyBorder="1"/>
    <xf numFmtId="0" fontId="0" fillId="4" borderId="47" xfId="0" applyFont="1" applyFill="1" applyBorder="1"/>
    <xf numFmtId="0" fontId="0" fillId="0" borderId="42" xfId="0" applyNumberFormat="1" applyFont="1" applyBorder="1"/>
    <xf numFmtId="0" fontId="30" fillId="0" borderId="41" xfId="0" applyFont="1" applyBorder="1"/>
    <xf numFmtId="0" fontId="17" fillId="4" borderId="5" xfId="0" applyFont="1" applyFill="1" applyBorder="1" applyAlignment="1">
      <alignment wrapText="1"/>
    </xf>
    <xf numFmtId="0" fontId="0" fillId="4" borderId="10" xfId="0" applyNumberFormat="1" applyFont="1" applyFill="1" applyBorder="1"/>
    <xf numFmtId="0" fontId="0" fillId="4" borderId="10" xfId="0" applyFont="1" applyFill="1" applyBorder="1" applyAlignment="1"/>
    <xf numFmtId="0" fontId="0" fillId="0" borderId="5" xfId="0" applyFont="1" applyBorder="1" applyAlignment="1"/>
    <xf numFmtId="0" fontId="0" fillId="4" borderId="5" xfId="0" applyFont="1" applyFill="1" applyBorder="1" applyAlignment="1"/>
    <xf numFmtId="0" fontId="30" fillId="0" borderId="9" xfId="0" applyFont="1" applyBorder="1"/>
    <xf numFmtId="0" fontId="30" fillId="0" borderId="8" xfId="0" applyFont="1" applyBorder="1" applyAlignment="1"/>
    <xf numFmtId="0" fontId="30" fillId="0" borderId="49" xfId="0" applyFont="1" applyBorder="1"/>
    <xf numFmtId="0" fontId="0" fillId="4" borderId="46" xfId="0" applyFont="1" applyFill="1" applyBorder="1"/>
    <xf numFmtId="0" fontId="30" fillId="0" borderId="49" xfId="0" applyFont="1" applyBorder="1" applyAlignment="1"/>
    <xf numFmtId="0" fontId="0" fillId="4" borderId="46" xfId="0" applyFont="1" applyFill="1" applyBorder="1" applyAlignment="1"/>
    <xf numFmtId="0" fontId="16" fillId="4" borderId="46" xfId="0" applyFont="1" applyFill="1" applyBorder="1" applyAlignment="1"/>
    <xf numFmtId="0" fontId="0" fillId="4" borderId="45" xfId="0" applyFont="1" applyFill="1" applyBorder="1"/>
    <xf numFmtId="0" fontId="0" fillId="4" borderId="42" xfId="0" applyNumberFormat="1" applyFont="1" applyFill="1" applyBorder="1"/>
    <xf numFmtId="0" fontId="30" fillId="0" borderId="27" xfId="0" applyFont="1" applyBorder="1" applyAlignment="1"/>
    <xf numFmtId="0" fontId="0" fillId="4" borderId="43" xfId="0" applyFont="1" applyFill="1" applyBorder="1" applyAlignment="1"/>
    <xf numFmtId="0" fontId="30" fillId="0" borderId="27" xfId="0" applyFont="1" applyBorder="1"/>
    <xf numFmtId="0" fontId="30" fillId="0" borderId="39" xfId="0" applyFont="1" applyBorder="1" applyAlignment="1"/>
    <xf numFmtId="0" fontId="0" fillId="4" borderId="42" xfId="0" applyFont="1" applyFill="1" applyBorder="1" applyAlignment="1"/>
    <xf numFmtId="0" fontId="0" fillId="0" borderId="42" xfId="0" applyFont="1" applyBorder="1" applyAlignment="1"/>
    <xf numFmtId="0" fontId="0" fillId="0" borderId="0" xfId="0" quotePrefix="1"/>
    <xf numFmtId="0" fontId="31" fillId="0" borderId="0" xfId="0" applyFont="1"/>
    <xf numFmtId="0" fontId="20" fillId="0" borderId="19" xfId="0" applyNumberFormat="1" applyFont="1" applyBorder="1" applyAlignment="1">
      <alignment horizontal="center" vertical="center" wrapText="1"/>
    </xf>
    <xf numFmtId="0" fontId="16" fillId="5" borderId="0" xfId="0" applyFont="1" applyFill="1" applyAlignment="1"/>
    <xf numFmtId="0" fontId="0" fillId="5" borderId="0" xfId="0" applyFill="1"/>
    <xf numFmtId="0" fontId="16" fillId="5" borderId="42" xfId="0" applyFont="1" applyFill="1" applyBorder="1" applyAlignment="1"/>
    <xf numFmtId="0" fontId="0" fillId="5" borderId="42" xfId="0" applyFont="1" applyFill="1" applyBorder="1"/>
    <xf numFmtId="0" fontId="17" fillId="5" borderId="0" xfId="0" applyFont="1" applyFill="1" applyAlignment="1"/>
    <xf numFmtId="0" fontId="17" fillId="5" borderId="42" xfId="0" applyFont="1" applyFill="1" applyBorder="1" applyAlignment="1"/>
    <xf numFmtId="0" fontId="0" fillId="5" borderId="0" xfId="0" applyFill="1" applyAlignment="1">
      <alignment horizontal="right"/>
    </xf>
    <xf numFmtId="0" fontId="18" fillId="5" borderId="0" xfId="0" applyFont="1" applyFill="1" applyAlignment="1"/>
    <xf numFmtId="0" fontId="18" fillId="5" borderId="42" xfId="0" applyFont="1" applyFill="1" applyBorder="1" applyAlignment="1"/>
    <xf numFmtId="164" fontId="0" fillId="0" borderId="52" xfId="0" applyNumberFormat="1" applyBorder="1"/>
    <xf numFmtId="164" fontId="0" fillId="0" borderId="25" xfId="0" applyNumberFormat="1" applyBorder="1"/>
    <xf numFmtId="164" fontId="0" fillId="0" borderId="15" xfId="0" applyNumberFormat="1" applyBorder="1"/>
    <xf numFmtId="164" fontId="0" fillId="0" borderId="0" xfId="0" applyNumberFormat="1" applyBorder="1"/>
    <xf numFmtId="0" fontId="0" fillId="0" borderId="12" xfId="0" applyNumberFormat="1" applyBorder="1"/>
    <xf numFmtId="0" fontId="0" fillId="0" borderId="26" xfId="0" applyBorder="1"/>
    <xf numFmtId="0" fontId="0" fillId="0" borderId="26" xfId="0" applyFill="1" applyBorder="1"/>
    <xf numFmtId="0" fontId="0" fillId="0" borderId="55" xfId="0" applyFill="1" applyBorder="1"/>
    <xf numFmtId="0" fontId="0" fillId="0" borderId="55" xfId="0" applyBorder="1"/>
    <xf numFmtId="0" fontId="0" fillId="0" borderId="56" xfId="0" applyBorder="1" applyAlignment="1"/>
    <xf numFmtId="0" fontId="0" fillId="0" borderId="55" xfId="0" applyBorder="1" applyAlignment="1">
      <alignment wrapText="1"/>
    </xf>
    <xf numFmtId="0" fontId="0" fillId="0" borderId="57" xfId="0" applyBorder="1"/>
    <xf numFmtId="0" fontId="0" fillId="0" borderId="58" xfId="0" applyNumberFormat="1" applyBorder="1"/>
    <xf numFmtId="0" fontId="0" fillId="0" borderId="60" xfId="0" applyNumberFormat="1" applyFont="1" applyBorder="1"/>
    <xf numFmtId="0" fontId="0" fillId="0" borderId="60" xfId="0" applyFont="1" applyBorder="1" applyAlignment="1"/>
    <xf numFmtId="0" fontId="0" fillId="0" borderId="53" xfId="0" applyFont="1" applyBorder="1"/>
    <xf numFmtId="0" fontId="0" fillId="0" borderId="53" xfId="0" applyFont="1" applyBorder="1" applyAlignment="1"/>
    <xf numFmtId="0" fontId="0" fillId="0" borderId="54" xfId="0" applyFont="1" applyBorder="1"/>
    <xf numFmtId="0" fontId="0" fillId="0" borderId="54" xfId="0" applyFont="1" applyBorder="1" applyAlignment="1">
      <alignment wrapText="1"/>
    </xf>
    <xf numFmtId="0" fontId="0" fillId="0" borderId="59" xfId="0" applyFont="1" applyBorder="1" applyAlignment="1">
      <alignment wrapText="1"/>
    </xf>
    <xf numFmtId="0" fontId="0" fillId="4" borderId="60" xfId="0" applyNumberFormat="1" applyFont="1" applyFill="1" applyBorder="1"/>
    <xf numFmtId="0" fontId="0" fillId="4" borderId="54" xfId="0" applyFont="1" applyFill="1" applyBorder="1"/>
    <xf numFmtId="0" fontId="17" fillId="0" borderId="23" xfId="0" applyFont="1" applyBorder="1"/>
    <xf numFmtId="0" fontId="32" fillId="6" borderId="0" xfId="0" applyFont="1" applyFill="1" applyAlignment="1"/>
    <xf numFmtId="0" fontId="33" fillId="6" borderId="0" xfId="0" applyFont="1" applyFill="1"/>
    <xf numFmtId="0" fontId="33" fillId="6" borderId="0" xfId="0" applyFont="1" applyFill="1" applyAlignment="1"/>
    <xf numFmtId="3" fontId="0" fillId="0" borderId="0" xfId="0" applyNumberFormat="1" applyBorder="1"/>
    <xf numFmtId="0" fontId="8" fillId="0" borderId="5" xfId="0" applyFont="1" applyBorder="1"/>
    <xf numFmtId="0" fontId="17" fillId="4" borderId="47" xfId="0" applyFont="1" applyFill="1" applyBorder="1"/>
    <xf numFmtId="0" fontId="8" fillId="0" borderId="6" xfId="0" applyFont="1" applyBorder="1"/>
    <xf numFmtId="0" fontId="32" fillId="6" borderId="42" xfId="0" applyFont="1" applyFill="1" applyBorder="1" applyAlignment="1"/>
    <xf numFmtId="0" fontId="33" fillId="6" borderId="42" xfId="0" applyFont="1" applyFill="1" applyBorder="1" applyAlignment="1"/>
    <xf numFmtId="0" fontId="33" fillId="6" borderId="42" xfId="0" applyFont="1" applyFill="1" applyBorder="1"/>
    <xf numFmtId="0" fontId="8" fillId="0" borderId="5" xfId="0" applyFont="1" applyBorder="1" applyAlignment="1">
      <alignment vertical="center"/>
    </xf>
    <xf numFmtId="0" fontId="8" fillId="0" borderId="0" xfId="0" applyFont="1"/>
    <xf numFmtId="0" fontId="8" fillId="0" borderId="3" xfId="0" applyFont="1" applyBorder="1"/>
    <xf numFmtId="164" fontId="8" fillId="0" borderId="9" xfId="0" applyNumberFormat="1" applyFont="1" applyBorder="1"/>
    <xf numFmtId="164" fontId="8" fillId="0" borderId="16" xfId="0" applyNumberFormat="1" applyFont="1" applyBorder="1"/>
    <xf numFmtId="0" fontId="8" fillId="0" borderId="0" xfId="0" applyFont="1" applyBorder="1"/>
    <xf numFmtId="0" fontId="8" fillId="0" borderId="0" xfId="0" applyFont="1" applyBorder="1" applyAlignment="1"/>
    <xf numFmtId="0" fontId="8" fillId="0" borderId="4" xfId="0" applyFont="1" applyBorder="1"/>
    <xf numFmtId="0" fontId="8" fillId="0" borderId="0" xfId="0" applyFont="1" applyFill="1" applyBorder="1"/>
    <xf numFmtId="49" fontId="8" fillId="0" borderId="0" xfId="0" applyNumberFormat="1" applyFont="1" applyFill="1" applyBorder="1"/>
    <xf numFmtId="164" fontId="8" fillId="0" borderId="5" xfId="0" applyNumberFormat="1" applyFont="1" applyBorder="1"/>
    <xf numFmtId="0" fontId="8" fillId="0" borderId="25" xfId="0" applyFont="1" applyBorder="1" applyAlignment="1"/>
    <xf numFmtId="0" fontId="8" fillId="0" borderId="7" xfId="0" applyFont="1" applyBorder="1"/>
    <xf numFmtId="0" fontId="8" fillId="0" borderId="5" xfId="0" applyFont="1" applyBorder="1" applyAlignment="1"/>
    <xf numFmtId="0" fontId="8" fillId="0" borderId="15" xfId="0" applyFont="1" applyBorder="1" applyAlignment="1"/>
    <xf numFmtId="49" fontId="8" fillId="0" borderId="0" xfId="0" applyNumberFormat="1" applyFont="1"/>
    <xf numFmtId="0" fontId="8" fillId="0" borderId="17" xfId="0" applyFont="1" applyBorder="1"/>
    <xf numFmtId="0" fontId="8" fillId="0" borderId="7" xfId="0" applyFont="1" applyBorder="1" applyAlignment="1"/>
    <xf numFmtId="49" fontId="8" fillId="0" borderId="0" xfId="0" applyNumberFormat="1" applyFont="1" applyBorder="1"/>
    <xf numFmtId="0" fontId="8" fillId="0" borderId="0" xfId="0" applyNumberFormat="1" applyFont="1" applyBorder="1"/>
    <xf numFmtId="0" fontId="8" fillId="0" borderId="5" xfId="0" applyFont="1" applyBorder="1" applyAlignment="1">
      <alignment wrapText="1"/>
    </xf>
    <xf numFmtId="0" fontId="8" fillId="0" borderId="7" xfId="0" applyFont="1" applyFill="1" applyBorder="1"/>
    <xf numFmtId="0" fontId="8" fillId="0" borderId="0" xfId="0" applyFont="1" applyBorder="1" applyAlignment="1">
      <alignment wrapText="1"/>
    </xf>
    <xf numFmtId="0" fontId="8" fillId="0" borderId="23" xfId="0" applyFont="1" applyBorder="1"/>
    <xf numFmtId="164" fontId="8" fillId="0" borderId="23" xfId="0" applyNumberFormat="1" applyFont="1" applyBorder="1"/>
    <xf numFmtId="0" fontId="8" fillId="0" borderId="26" xfId="0" applyFont="1" applyBorder="1" applyAlignment="1"/>
    <xf numFmtId="0" fontId="8" fillId="0" borderId="24" xfId="0" applyFont="1" applyBorder="1"/>
    <xf numFmtId="0" fontId="8" fillId="0" borderId="12" xfId="0" applyFont="1" applyBorder="1"/>
    <xf numFmtId="0" fontId="8" fillId="0" borderId="23" xfId="0" applyFont="1" applyBorder="1" applyAlignment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23" xfId="0" applyFont="1" applyFill="1" applyBorder="1"/>
    <xf numFmtId="49" fontId="8" fillId="0" borderId="23" xfId="0" applyNumberFormat="1" applyFont="1" applyBorder="1"/>
    <xf numFmtId="0" fontId="8" fillId="0" borderId="23" xfId="0" quotePrefix="1" applyFont="1" applyBorder="1"/>
    <xf numFmtId="0" fontId="18" fillId="0" borderId="12" xfId="0" applyFont="1" applyBorder="1"/>
    <xf numFmtId="0" fontId="18" fillId="0" borderId="0" xfId="0" applyFont="1" applyBorder="1"/>
    <xf numFmtId="0" fontId="0" fillId="0" borderId="23" xfId="0" applyBorder="1" applyAlignment="1"/>
    <xf numFmtId="0" fontId="0" fillId="0" borderId="23" xfId="0" applyNumberFormat="1" applyBorder="1"/>
    <xf numFmtId="0" fontId="0" fillId="0" borderId="0" xfId="0" applyNumberFormat="1" applyBorder="1"/>
    <xf numFmtId="0" fontId="7" fillId="0" borderId="5" xfId="0" applyFont="1" applyBorder="1"/>
    <xf numFmtId="0" fontId="18" fillId="0" borderId="54" xfId="0" applyFont="1" applyBorder="1"/>
    <xf numFmtId="0" fontId="18" fillId="0" borderId="42" xfId="0" applyFont="1" applyBorder="1"/>
    <xf numFmtId="0" fontId="0" fillId="4" borderId="47" xfId="0" applyFont="1" applyFill="1" applyBorder="1" applyAlignment="1"/>
    <xf numFmtId="0" fontId="0" fillId="0" borderId="47" xfId="0" applyFont="1" applyBorder="1" applyAlignment="1"/>
    <xf numFmtId="0" fontId="24" fillId="0" borderId="31" xfId="1" applyNumberFormat="1" applyBorder="1"/>
    <xf numFmtId="0" fontId="34" fillId="0" borderId="8" xfId="1" applyNumberFormat="1" applyFont="1" applyBorder="1"/>
    <xf numFmtId="0" fontId="24" fillId="0" borderId="1" xfId="1" applyBorder="1"/>
    <xf numFmtId="0" fontId="34" fillId="0" borderId="40" xfId="1" applyFont="1" applyBorder="1"/>
    <xf numFmtId="0" fontId="24" fillId="0" borderId="16" xfId="1" applyNumberFormat="1" applyFill="1" applyBorder="1"/>
    <xf numFmtId="0" fontId="34" fillId="0" borderId="50" xfId="1" applyNumberFormat="1" applyFont="1" applyBorder="1"/>
    <xf numFmtId="0" fontId="7" fillId="0" borderId="0" xfId="0" applyFont="1" applyBorder="1"/>
    <xf numFmtId="0" fontId="7" fillId="0" borderId="23" xfId="0" applyFont="1" applyBorder="1"/>
    <xf numFmtId="164" fontId="7" fillId="0" borderId="23" xfId="0" applyNumberFormat="1" applyFont="1" applyBorder="1"/>
    <xf numFmtId="0" fontId="7" fillId="0" borderId="23" xfId="0" applyFont="1" applyBorder="1" applyAlignment="1"/>
    <xf numFmtId="49" fontId="7" fillId="0" borderId="23" xfId="0" applyNumberFormat="1" applyFont="1" applyBorder="1"/>
    <xf numFmtId="0" fontId="7" fillId="0" borderId="0" xfId="0" applyNumberFormat="1" applyFont="1" applyBorder="1"/>
    <xf numFmtId="0" fontId="6" fillId="0" borderId="5" xfId="0" applyFont="1" applyBorder="1"/>
    <xf numFmtId="0" fontId="18" fillId="0" borderId="23" xfId="0" applyFont="1" applyBorder="1"/>
    <xf numFmtId="0" fontId="18" fillId="4" borderId="47" xfId="0" applyFont="1" applyFill="1" applyBorder="1"/>
    <xf numFmtId="0" fontId="18" fillId="0" borderId="5" xfId="0" applyFont="1" applyBorder="1"/>
    <xf numFmtId="0" fontId="18" fillId="0" borderId="10" xfId="0" applyFont="1" applyBorder="1" applyAlignment="1"/>
    <xf numFmtId="0" fontId="18" fillId="0" borderId="6" xfId="0" applyFont="1" applyBorder="1"/>
    <xf numFmtId="0" fontId="18" fillId="0" borderId="15" xfId="0" applyFont="1" applyBorder="1" applyAlignment="1"/>
    <xf numFmtId="0" fontId="17" fillId="0" borderId="0" xfId="0" applyFont="1" applyBorder="1" applyAlignment="1"/>
    <xf numFmtId="0" fontId="18" fillId="0" borderId="0" xfId="0" applyFont="1" applyBorder="1" applyAlignment="1"/>
    <xf numFmtId="0" fontId="17" fillId="0" borderId="0" xfId="0" applyFont="1" applyBorder="1"/>
    <xf numFmtId="0" fontId="18" fillId="4" borderId="5" xfId="0" applyFont="1" applyFill="1" applyBorder="1"/>
    <xf numFmtId="0" fontId="18" fillId="4" borderId="6" xfId="0" applyFont="1" applyFill="1" applyBorder="1"/>
    <xf numFmtId="0" fontId="17" fillId="4" borderId="42" xfId="0" applyFont="1" applyFill="1" applyBorder="1"/>
    <xf numFmtId="0" fontId="17" fillId="0" borderId="42" xfId="0" applyFont="1" applyBorder="1"/>
    <xf numFmtId="0" fontId="17" fillId="4" borderId="42" xfId="0" applyFont="1" applyFill="1" applyBorder="1" applyAlignment="1"/>
    <xf numFmtId="0" fontId="17" fillId="0" borderId="42" xfId="0" applyFont="1" applyBorder="1" applyAlignment="1"/>
    <xf numFmtId="0" fontId="18" fillId="0" borderId="46" xfId="0" applyFont="1" applyBorder="1" applyAlignment="1"/>
    <xf numFmtId="0" fontId="18" fillId="4" borderId="42" xfId="0" applyFont="1" applyFill="1" applyBorder="1" applyAlignment="1"/>
    <xf numFmtId="0" fontId="18" fillId="4" borderId="42" xfId="0" applyFont="1" applyFill="1" applyBorder="1"/>
    <xf numFmtId="0" fontId="10" fillId="0" borderId="7" xfId="0" applyFont="1" applyBorder="1" applyAlignment="1"/>
    <xf numFmtId="164" fontId="5" fillId="0" borderId="23" xfId="0" applyNumberFormat="1" applyFont="1" applyBorder="1"/>
    <xf numFmtId="0" fontId="5" fillId="0" borderId="23" xfId="0" applyFont="1" applyFill="1" applyBorder="1"/>
    <xf numFmtId="0" fontId="5" fillId="0" borderId="23" xfId="0" applyFont="1" applyBorder="1" applyAlignment="1"/>
    <xf numFmtId="0" fontId="18" fillId="0" borderId="47" xfId="0" applyFont="1" applyBorder="1"/>
    <xf numFmtId="0" fontId="17" fillId="0" borderId="47" xfId="0" applyFont="1" applyBorder="1"/>
    <xf numFmtId="0" fontId="4" fillId="0" borderId="5" xfId="0" applyFont="1" applyBorder="1"/>
    <xf numFmtId="164" fontId="4" fillId="0" borderId="5" xfId="0" applyNumberFormat="1" applyFont="1" applyBorder="1"/>
    <xf numFmtId="0" fontId="4" fillId="0" borderId="5" xfId="0" applyFont="1" applyBorder="1" applyAlignment="1"/>
    <xf numFmtId="49" fontId="4" fillId="0" borderId="5" xfId="0" applyNumberFormat="1" applyFont="1" applyBorder="1"/>
    <xf numFmtId="0" fontId="4" fillId="0" borderId="0" xfId="0" applyFont="1" applyBorder="1"/>
    <xf numFmtId="0" fontId="4" fillId="0" borderId="23" xfId="0" applyFont="1" applyBorder="1"/>
    <xf numFmtId="164" fontId="4" fillId="0" borderId="23" xfId="0" applyNumberFormat="1" applyFont="1" applyBorder="1"/>
    <xf numFmtId="0" fontId="4" fillId="0" borderId="23" xfId="0" applyFont="1" applyBorder="1" applyAlignment="1"/>
    <xf numFmtId="0" fontId="4" fillId="0" borderId="23" xfId="0" applyFont="1" applyFill="1" applyBorder="1"/>
    <xf numFmtId="49" fontId="4" fillId="0" borderId="23" xfId="0" applyNumberFormat="1" applyFont="1" applyBorder="1"/>
    <xf numFmtId="0" fontId="4" fillId="0" borderId="0" xfId="0" applyNumberFormat="1" applyFont="1" applyBorder="1"/>
    <xf numFmtId="0" fontId="4" fillId="0" borderId="0" xfId="0" applyFont="1" applyFill="1" applyBorder="1"/>
    <xf numFmtId="0" fontId="3" fillId="0" borderId="0" xfId="0" applyFont="1" applyBorder="1"/>
    <xf numFmtId="0" fontId="3" fillId="0" borderId="23" xfId="0" applyFont="1" applyBorder="1"/>
    <xf numFmtId="164" fontId="3" fillId="0" borderId="23" xfId="0" applyNumberFormat="1" applyFont="1" applyBorder="1"/>
    <xf numFmtId="0" fontId="3" fillId="0" borderId="23" xfId="0" applyFont="1" applyBorder="1" applyAlignment="1"/>
    <xf numFmtId="0" fontId="3" fillId="0" borderId="23" xfId="0" applyFont="1" applyFill="1" applyBorder="1"/>
    <xf numFmtId="49" fontId="3" fillId="0" borderId="23" xfId="0" applyNumberFormat="1" applyFont="1" applyBorder="1"/>
    <xf numFmtId="0" fontId="3" fillId="0" borderId="0" xfId="0" applyNumberFormat="1" applyFont="1" applyBorder="1"/>
    <xf numFmtId="0" fontId="0" fillId="0" borderId="7" xfId="0" applyNumberFormat="1" applyBorder="1" applyAlignment="1"/>
    <xf numFmtId="164" fontId="0" fillId="0" borderId="5" xfId="0" applyNumberFormat="1" applyBorder="1" applyAlignment="1"/>
    <xf numFmtId="0" fontId="0" fillId="0" borderId="15" xfId="0" applyFill="1" applyBorder="1" applyAlignment="1"/>
    <xf numFmtId="0" fontId="0" fillId="0" borderId="7" xfId="0" applyBorder="1" applyAlignment="1"/>
    <xf numFmtId="0" fontId="0" fillId="0" borderId="28" xfId="0" applyBorder="1" applyAlignment="1"/>
    <xf numFmtId="0" fontId="0" fillId="0" borderId="11" xfId="0" applyBorder="1" applyAlignment="1"/>
    <xf numFmtId="0" fontId="0" fillId="0" borderId="32" xfId="0" applyNumberFormat="1" applyBorder="1" applyAlignment="1"/>
    <xf numFmtId="0" fontId="18" fillId="0" borderId="5" xfId="0" applyFont="1" applyBorder="1" applyAlignment="1"/>
    <xf numFmtId="0" fontId="17" fillId="0" borderId="7" xfId="0" applyFont="1" applyBorder="1" applyAlignment="1"/>
    <xf numFmtId="0" fontId="0" fillId="0" borderId="61" xfId="0" applyBorder="1" applyAlignment="1"/>
    <xf numFmtId="0" fontId="0" fillId="0" borderId="61" xfId="0" applyBorder="1"/>
    <xf numFmtId="0" fontId="16" fillId="0" borderId="0" xfId="0" applyFont="1" applyAlignment="1"/>
    <xf numFmtId="0" fontId="0" fillId="4" borderId="10" xfId="0" applyNumberFormat="1" applyFont="1" applyFill="1" applyBorder="1" applyAlignment="1"/>
    <xf numFmtId="0" fontId="0" fillId="0" borderId="10" xfId="0" applyNumberFormat="1" applyFont="1" applyBorder="1" applyAlignment="1"/>
    <xf numFmtId="0" fontId="0" fillId="0" borderId="46" xfId="0" applyFont="1" applyBorder="1" applyAlignment="1"/>
    <xf numFmtId="0" fontId="0" fillId="4" borderId="45" xfId="0" applyFont="1" applyFill="1" applyBorder="1" applyAlignment="1"/>
    <xf numFmtId="0" fontId="17" fillId="0" borderId="45" xfId="0" applyFont="1" applyBorder="1" applyAlignment="1"/>
    <xf numFmtId="0" fontId="0" fillId="0" borderId="45" xfId="0" applyFont="1" applyBorder="1" applyAlignment="1"/>
    <xf numFmtId="0" fontId="0" fillId="4" borderId="51" xfId="0" applyFont="1" applyFill="1" applyBorder="1" applyAlignment="1"/>
    <xf numFmtId="0" fontId="0" fillId="0" borderId="51" xfId="0" applyFont="1" applyBorder="1" applyAlignment="1"/>
    <xf numFmtId="0" fontId="16" fillId="0" borderId="42" xfId="0" applyFont="1" applyBorder="1" applyAlignment="1"/>
    <xf numFmtId="0" fontId="0" fillId="4" borderId="62" xfId="0" applyFont="1" applyFill="1" applyBorder="1" applyAlignment="1"/>
    <xf numFmtId="0" fontId="0" fillId="0" borderId="62" xfId="0" applyFont="1" applyBorder="1" applyAlignment="1"/>
    <xf numFmtId="0" fontId="0" fillId="4" borderId="62" xfId="0" applyFont="1" applyFill="1" applyBorder="1"/>
    <xf numFmtId="0" fontId="0" fillId="0" borderId="62" xfId="0" applyFont="1" applyBorder="1"/>
    <xf numFmtId="0" fontId="2" fillId="4" borderId="43" xfId="0" applyFont="1" applyFill="1" applyBorder="1"/>
    <xf numFmtId="0" fontId="2" fillId="0" borderId="5" xfId="0" applyFont="1" applyBorder="1"/>
    <xf numFmtId="0" fontId="2" fillId="4" borderId="5" xfId="0" applyFont="1" applyFill="1" applyBorder="1"/>
    <xf numFmtId="0" fontId="2" fillId="0" borderId="47" xfId="0" applyFont="1" applyBorder="1"/>
    <xf numFmtId="0" fontId="2" fillId="4" borderId="47" xfId="0" applyFont="1" applyFill="1" applyBorder="1"/>
    <xf numFmtId="0" fontId="2" fillId="4" borderId="42" xfId="0" applyFont="1" applyFill="1" applyBorder="1"/>
    <xf numFmtId="0" fontId="2" fillId="0" borderId="42" xfId="0" applyFont="1" applyBorder="1"/>
    <xf numFmtId="0" fontId="2" fillId="0" borderId="42" xfId="0" applyNumberFormat="1" applyFont="1" applyBorder="1"/>
    <xf numFmtId="0" fontId="2" fillId="4" borderId="42" xfId="0" applyNumberFormat="1" applyFont="1" applyFill="1" applyBorder="1"/>
    <xf numFmtId="0" fontId="2" fillId="0" borderId="5" xfId="0" applyFont="1" applyBorder="1" applyAlignment="1">
      <alignment wrapText="1"/>
    </xf>
    <xf numFmtId="0" fontId="2" fillId="4" borderId="5" xfId="0" applyFont="1" applyFill="1" applyBorder="1" applyAlignment="1">
      <alignment wrapText="1"/>
    </xf>
    <xf numFmtId="0" fontId="2" fillId="4" borderId="44" xfId="0" applyFont="1" applyFill="1" applyBorder="1"/>
    <xf numFmtId="0" fontId="2" fillId="0" borderId="44" xfId="0" applyFont="1" applyBorder="1"/>
    <xf numFmtId="0" fontId="2" fillId="4" borderId="6" xfId="0" applyFont="1" applyFill="1" applyBorder="1"/>
    <xf numFmtId="0" fontId="2" fillId="0" borderId="6" xfId="0" applyFont="1" applyBorder="1"/>
    <xf numFmtId="0" fontId="2" fillId="0" borderId="48" xfId="0" applyFont="1" applyBorder="1"/>
    <xf numFmtId="0" fontId="18" fillId="4" borderId="54" xfId="0" applyFont="1" applyFill="1" applyBorder="1"/>
    <xf numFmtId="0" fontId="2" fillId="4" borderId="45" xfId="0" applyFont="1" applyFill="1" applyBorder="1" applyAlignment="1"/>
    <xf numFmtId="0" fontId="2" fillId="4" borderId="51" xfId="0" applyFont="1" applyFill="1" applyBorder="1" applyAlignment="1">
      <alignment wrapText="1"/>
    </xf>
    <xf numFmtId="0" fontId="9" fillId="0" borderId="5" xfId="0" applyFont="1" applyBorder="1" applyAlignment="1">
      <alignment vertical="center"/>
    </xf>
    <xf numFmtId="0" fontId="20" fillId="0" borderId="21" xfId="0" applyFont="1" applyBorder="1" applyAlignment="1">
      <alignment horizontal="center" vertical="center" wrapText="1"/>
    </xf>
    <xf numFmtId="0" fontId="20" fillId="0" borderId="18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/>
    </xf>
    <xf numFmtId="0" fontId="20" fillId="0" borderId="22" xfId="0" applyFont="1" applyBorder="1" applyAlignment="1">
      <alignment horizontal="center" vertical="center" wrapText="1"/>
    </xf>
    <xf numFmtId="0" fontId="20" fillId="0" borderId="19" xfId="0" applyFont="1" applyBorder="1" applyAlignment="1">
      <alignment horizontal="center" vertical="center" wrapText="1"/>
    </xf>
    <xf numFmtId="0" fontId="20" fillId="0" borderId="21" xfId="0" applyFont="1" applyBorder="1" applyAlignment="1">
      <alignment vertical="center" wrapText="1"/>
    </xf>
    <xf numFmtId="0" fontId="20" fillId="0" borderId="18" xfId="0" applyFont="1" applyBorder="1" applyAlignment="1">
      <alignment vertical="center" wrapText="1"/>
    </xf>
    <xf numFmtId="0" fontId="1" fillId="3" borderId="0" xfId="0" applyFont="1" applyFill="1" applyBorder="1"/>
  </cellXfs>
  <cellStyles count="2">
    <cellStyle name="Гиперссылка" xfId="1" builtinId="8"/>
    <cellStyle name="Обычный" xfId="0" builtinId="0"/>
  </cellStyles>
  <dxfs count="6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dd\/mmm\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dd\/mmm\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dd\/mmm\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</border>
    </dxf>
    <dxf>
      <font>
        <b val="0"/>
        <charset val="204"/>
      </font>
      <numFmt numFmtId="0" formatCode="General"/>
    </dxf>
    <dxf>
      <font>
        <b val="0"/>
        <charset val="204"/>
      </font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fill>
        <patternFill patternType="none">
          <fgColor indexed="64"/>
          <bgColor indexed="65"/>
        </patternFill>
      </fill>
    </dxf>
    <dxf>
      <font>
        <b val="0"/>
        <charset val="204"/>
      </font>
      <fill>
        <patternFill patternType="none">
          <fgColor indexed="64"/>
          <bgColor indexed="65"/>
        </patternFill>
      </fill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numFmt numFmtId="164" formatCode="dd\/mmm\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numFmt numFmtId="164" formatCode="dd\/mmm\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harset val="204"/>
      </font>
    </dxf>
    <dxf>
      <font>
        <b val="0"/>
        <charset val="204"/>
      </font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26</xdr:row>
          <xdr:rowOff>152400</xdr:rowOff>
        </xdr:from>
        <xdr:to>
          <xdr:col>7</xdr:col>
          <xdr:colOff>1428750</xdr:colOff>
          <xdr:row>28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28</xdr:row>
          <xdr:rowOff>152400</xdr:rowOff>
        </xdr:from>
        <xdr:to>
          <xdr:col>7</xdr:col>
          <xdr:colOff>1428750</xdr:colOff>
          <xdr:row>30</xdr:row>
          <xdr:rowOff>85725</xdr:rowOff>
        </xdr:to>
        <xdr:sp macro="" textlink="">
          <xdr:nvSpPr>
            <xdr:cNvPr id="1026" name="Toggle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30</xdr:row>
          <xdr:rowOff>85725</xdr:rowOff>
        </xdr:from>
        <xdr:to>
          <xdr:col>7</xdr:col>
          <xdr:colOff>1428750</xdr:colOff>
          <xdr:row>31</xdr:row>
          <xdr:rowOff>161925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31</xdr:row>
          <xdr:rowOff>98425</xdr:rowOff>
        </xdr:from>
        <xdr:to>
          <xdr:col>7</xdr:col>
          <xdr:colOff>1428750</xdr:colOff>
          <xdr:row>33</xdr:row>
          <xdr:rowOff>41275</xdr:rowOff>
        </xdr:to>
        <xdr:sp macro="" textlink="">
          <xdr:nvSpPr>
            <xdr:cNvPr id="1028" name="Check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33</xdr:row>
          <xdr:rowOff>34925</xdr:rowOff>
        </xdr:from>
        <xdr:to>
          <xdr:col>7</xdr:col>
          <xdr:colOff>1428750</xdr:colOff>
          <xdr:row>34</xdr:row>
          <xdr:rowOff>168275</xdr:rowOff>
        </xdr:to>
        <xdr:sp macro="" textlink="">
          <xdr:nvSpPr>
            <xdr:cNvPr id="1032" name="CheckBox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34</xdr:row>
          <xdr:rowOff>161925</xdr:rowOff>
        </xdr:from>
        <xdr:to>
          <xdr:col>7</xdr:col>
          <xdr:colOff>1428750</xdr:colOff>
          <xdr:row>36</xdr:row>
          <xdr:rowOff>104775</xdr:rowOff>
        </xdr:to>
        <xdr:sp macro="" textlink="">
          <xdr:nvSpPr>
            <xdr:cNvPr id="1033" name="CheckBox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36</xdr:row>
          <xdr:rowOff>98425</xdr:rowOff>
        </xdr:from>
        <xdr:to>
          <xdr:col>7</xdr:col>
          <xdr:colOff>1428750</xdr:colOff>
          <xdr:row>38</xdr:row>
          <xdr:rowOff>41275</xdr:rowOff>
        </xdr:to>
        <xdr:sp macro="" textlink="">
          <xdr:nvSpPr>
            <xdr:cNvPr id="1034" name="CheckBox4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38</xdr:row>
          <xdr:rowOff>34925</xdr:rowOff>
        </xdr:from>
        <xdr:to>
          <xdr:col>7</xdr:col>
          <xdr:colOff>1428750</xdr:colOff>
          <xdr:row>39</xdr:row>
          <xdr:rowOff>168275</xdr:rowOff>
        </xdr:to>
        <xdr:sp macro="" textlink="">
          <xdr:nvSpPr>
            <xdr:cNvPr id="1035" name="CheckBox5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39</xdr:row>
          <xdr:rowOff>161925</xdr:rowOff>
        </xdr:from>
        <xdr:to>
          <xdr:col>7</xdr:col>
          <xdr:colOff>1428750</xdr:colOff>
          <xdr:row>41</xdr:row>
          <xdr:rowOff>161925</xdr:rowOff>
        </xdr:to>
        <xdr:sp macro="" textlink="">
          <xdr:nvSpPr>
            <xdr:cNvPr id="1036" name="CommandButton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41</xdr:row>
          <xdr:rowOff>161925</xdr:rowOff>
        </xdr:from>
        <xdr:to>
          <xdr:col>7</xdr:col>
          <xdr:colOff>1428750</xdr:colOff>
          <xdr:row>43</xdr:row>
          <xdr:rowOff>95250</xdr:rowOff>
        </xdr:to>
        <xdr:sp macro="" textlink="">
          <xdr:nvSpPr>
            <xdr:cNvPr id="1037" name="Toggle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04B6DC2-99D3-4188-A36E-F2E78492B875}" name="Таблица6" displayName="Таблица6" ref="A2:F18" totalsRowShown="0" tableBorderDxfId="68">
  <autoFilter ref="A2:F18" xr:uid="{804B6DC2-99D3-4188-A36E-F2E78492B875}"/>
  <sortState xmlns:xlrd2="http://schemas.microsoft.com/office/spreadsheetml/2017/richdata2" ref="A3:F17">
    <sortCondition ref="A2:A17"/>
  </sortState>
  <tableColumns count="6">
    <tableColumn id="1" xr3:uid="{A3E25271-7BE6-41AA-B20E-23C03D46368E}" name="Год" dataDxfId="67"/>
    <tableColumn id="2" xr3:uid="{E01EE7A2-F248-441D-870D-A9A226184F91}" name="Родившиеся" dataDxfId="66"/>
    <tableColumn id="3" xr3:uid="{6AD17849-A364-4809-B777-C4D283D161DD}" name="Брак" dataDxfId="65"/>
    <tableColumn id="4" xr3:uid="{FED7FB67-17A5-4A7D-994C-0E7AE7F64144}" name="Умершие" dataDxfId="64"/>
    <tableColumn id="5" xr3:uid="{471EEEBF-1759-49EC-A021-843BA4B42671}" name="Фамилии"/>
    <tableColumn id="6" xr3:uid="{E1B8D0B6-964C-4EEA-B189-D1FC7E2776FF}" name="Заметки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0A7A0E-7A45-4BBE-A163-BF38BB252937}" name="Таблица1" displayName="Таблица1" ref="A1:T99" totalsRowShown="0" headerRowDxfId="62" dataDxfId="61">
  <autoFilter ref="A1:T99" xr:uid="{220A7A0E-7A45-4BBE-A163-BF38BB252937}"/>
  <sortState xmlns:xlrd2="http://schemas.microsoft.com/office/spreadsheetml/2017/richdata2" ref="A2:T82">
    <sortCondition ref="T1:T82"/>
  </sortState>
  <tableColumns count="20">
    <tableColumn id="1" xr3:uid="{742CEF3E-42AC-4A44-BB08-2C4825FED3A4}" name="Запись в книге" dataDxfId="60"/>
    <tableColumn id="2" xr3:uid="{7B95C8E5-5695-4D44-B0CA-B5F3B84148CE}" name="Родившийся" dataDxfId="59"/>
    <tableColumn id="3" xr3:uid="{50B7886F-F78F-4E37-98FA-F499960A739D}" name="рождение" dataDxfId="58"/>
    <tableColumn id="4" xr3:uid="{1079D0E9-34A1-4EBA-9C66-2C38C8FD206F}" name="Крещение" dataDxfId="57"/>
    <tableColumn id="5" xr3:uid="{9C4E1BFC-6C04-4C33-AD0D-56C4D005A84E}" name="насел. пункт" dataDxfId="56"/>
    <tableColumn id="6" xr3:uid="{9C1ED3AD-D59A-462E-9489-F4E8E0E3EAB7}" name="Отец" dataDxfId="55"/>
    <tableColumn id="7" xr3:uid="{A608809E-852D-438F-A7A2-C978BFF9861E}" name="комментарий (отец)" dataDxfId="54"/>
    <tableColumn id="8" xr3:uid="{CD2AEE87-E218-4E2A-8903-7385E61E0FA4}" name="Мать" dataDxfId="53"/>
    <tableColumn id="9" xr3:uid="{DF2D629B-81AB-4310-95F5-5595B9876AF7}" name="насел. пункт. кр. отец" dataDxfId="52"/>
    <tableColumn id="10" xr3:uid="{124E5163-95E7-4A41-850F-6CD466DD3AE8}" name="Крестный отец" dataDxfId="51"/>
    <tableColumn id="11" xr3:uid="{C37F9736-1571-4A9F-AC00-E1EA77C14B37}" name="комментарий (Кр.отец)" dataDxfId="50"/>
    <tableColumn id="12" xr3:uid="{DC067B2B-3B69-45BC-9426-48DA1F0A1CAD}" name="насел. Пункт. кр. мать" dataDxfId="49"/>
    <tableColumn id="13" xr3:uid="{3C974717-7E50-4F42-89CA-02B24CAFCE2B}" name="Крестная мать" dataDxfId="48"/>
    <tableColumn id="14" xr3:uid="{F330ABA4-6F1F-4A95-A3F2-AABBB2B8FAD6}" name="комментарий (Кр.мать)" dataDxfId="47"/>
    <tableColumn id="15" xr3:uid="{291E1B0E-632C-483B-905F-8F6D54C37915}" name="родство" dataDxfId="46"/>
    <tableColumn id="16" xr3:uid="{F3DD9CA4-ACCB-430F-9049-E7BDA3D43804}" name="просмотренные фамилии" dataDxfId="45"/>
    <tableColumn id="17" xr3:uid="{316FC091-2839-4406-A2E1-0E6FF51ED0FB}" name="ссылка на документ" dataDxfId="44"/>
    <tableColumn id="18" xr3:uid="{0435EA09-9D67-4942-AFB4-2DBFA2AD4245}" name="поиск фамилии" dataDxfId="43"/>
    <tableColumn id="19" xr3:uid="{0C3107B6-898D-45E4-883C-1BEDB9CE7340}" name="*уфимцев*" dataDxfId="42"/>
    <tableColumn id="20" xr3:uid="{64AF92C8-EB9F-46AA-AE2F-8AD3EB92073D}" name="год рож." dataDxfId="41">
      <calculatedColumnFormula>IF(ISTEXT(C2),VALUE(RIGHT(C2,4)),YEAR(C2))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21C7D4-ECE4-4525-BC94-384B398C35D6}" name="Брак_tb" displayName="Брак_tb" ref="A1:AA58" totalsRowShown="0" tableBorderDxfId="40">
  <autoFilter ref="A1:AA58" xr:uid="{9121C7D4-ECE4-4525-BC94-384B398C35D6}"/>
  <sortState xmlns:xlrd2="http://schemas.microsoft.com/office/spreadsheetml/2017/richdata2" ref="A2:AA4">
    <sortCondition ref="AA1:AA4"/>
  </sortState>
  <tableColumns count="27">
    <tableColumn id="1" xr3:uid="{A8C8EFBF-1943-4516-9D62-A07D03240C80}" name="запись №" dataDxfId="39"/>
    <tableColumn id="2" xr3:uid="{E486A0EE-4065-4A44-B3E3-48342BB91B2A}" name="дата" dataDxfId="38"/>
    <tableColumn id="3" xr3:uid="{63AA3894-90F2-4794-84CD-5927900B9730}" name="Жених"/>
    <tableColumn id="4" xr3:uid="{551ADCE2-ADBA-4549-A78C-889BF8F36B5C}" name="Родители жениха"/>
    <tableColumn id="5" xr3:uid="{FB7EAFDA-6C69-4976-93A3-053439A0EFB8}" name="комментарий" dataDxfId="37"/>
    <tableColumn id="6" xr3:uid="{4E6F12B5-BA73-4FAF-A47B-08FA783773B8}" name="№ брака" dataDxfId="36"/>
    <tableColumn id="7" xr3:uid="{A93CEE7E-0B7C-4002-BC36-5F4A338CBA03}" name="Возраст жениха" dataDxfId="35"/>
    <tableColumn id="8" xr3:uid="{A4584068-3FA1-43D0-9315-DE8B59994222}" name="Расчитанный год (приблизительно)" dataDxfId="34">
      <calculatedColumnFormula>AA2-G2</calculatedColumnFormula>
    </tableColumn>
    <tableColumn id="9" xr3:uid="{85494250-29F9-4E71-94CA-C6C02BE28A0E}" name="Проверено в МК по году рождения" dataDxfId="33"/>
    <tableColumn id="10" xr3:uid="{F13CD6D4-EAB0-47D0-AEA5-E9B24767B2BD}" name="нас. пункт жениха" dataDxfId="32"/>
    <tableColumn id="11" xr3:uid="{F66E4B43-3BF3-406E-9BE2-21E950453615}" name="Невеста" dataDxfId="31"/>
    <tableColumn id="12" xr3:uid="{2102E723-6429-47EB-9C7D-3DDF4C6C5BE7}" name="Родители невесты"/>
    <tableColumn id="13" xr3:uid="{8D63F3D1-3B0E-4A85-9565-1094FE39086C}" name="комменарий"/>
    <tableColumn id="14" xr3:uid="{783B5884-618D-43CD-B390-6AACE29849A7}" name="№ брака2" dataDxfId="30"/>
    <tableColumn id="15" xr3:uid="{6BDC339C-5DF0-4CF4-8BD2-2C10066D7779}" name="Возраст невесты" dataDxfId="29"/>
    <tableColumn id="16" xr3:uid="{55E9BF80-C47C-4517-81A2-A05B8E0B0635}" name="Расчитанный год (приблизительно)2" dataDxfId="28">
      <calculatedColumnFormula>AA2-O2</calculatedColumnFormula>
    </tableColumn>
    <tableColumn id="17" xr3:uid="{CEF94BDB-943F-42E4-B494-2753936E37BB}" name="Проверено в МК по году рождения4" dataDxfId="27"/>
    <tableColumn id="18" xr3:uid="{07579BE9-C1E1-439B-9AEC-D9C3BA82084F}" name="нас. пункт св. невесты" dataDxfId="26"/>
    <tableColumn id="19" xr3:uid="{FB4E39CD-8ED7-41EA-9A36-904F02B1FCC6}" name="Свидетель жениха 1" dataDxfId="25"/>
    <tableColumn id="20" xr3:uid="{5EF99393-7136-4D7B-A2DE-87C119E2E1F4}" name="Свидетель жениха 2" dataDxfId="24"/>
    <tableColumn id="21" xr3:uid="{94DDCEFB-CBF1-4A6E-B11C-96AF4FC6E5F5}" name="Свидетель невесты 1"/>
    <tableColumn id="22" xr3:uid="{66A72C24-9B36-4C03-ABD6-E7EDE1BDC501}" name="Свидетель невесты 2"/>
    <tableColumn id="23" xr3:uid="{699D10FE-7830-435C-8B6C-9AE01B6AA040}" name="комментарий2"/>
    <tableColumn id="24" xr3:uid="{B13917AC-9892-401C-86F5-C142D35C22E2}" name="родство"/>
    <tableColumn id="25" xr3:uid="{D9EEA933-C6AB-4F9E-970D-C332FE304BBC}" name="просмотренные фамилии"/>
    <tableColumn id="26" xr3:uid="{940048D4-2B8B-4B8D-B84E-0F2B90C63E88}" name="Ссылка на документ"/>
    <tableColumn id="27" xr3:uid="{E858996B-FDD4-496A-BDA2-AD15DE9AA68A}" name="Год св-бы" dataDxfId="23">
      <calculatedColumnFormula>IF(ISTEXT(B2),VALUE(RIGHT(B2,4)),YEAR(B2))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E73F193-EC76-4FE1-AEA2-24DD6595B546}" name="Умершие_tb" displayName="Умершие_tb" ref="A1:N31" totalsRowShown="0" headerRowDxfId="22" tableBorderDxfId="21">
  <autoFilter ref="A1:N31" xr:uid="{2E73F193-EC76-4FE1-AEA2-24DD6595B546}"/>
  <sortState xmlns:xlrd2="http://schemas.microsoft.com/office/spreadsheetml/2017/richdata2" ref="A2:N25">
    <sortCondition ref="N1:N25"/>
  </sortState>
  <tableColumns count="14">
    <tableColumn id="1" xr3:uid="{76C2068E-4DEA-4BF0-AC44-472FCA655E7E}" name="Запись в книге" dataDxfId="20"/>
    <tableColumn id="2" xr3:uid="{33843CF5-ABFF-4557-9AD6-5214171AF126}" name="Дата Смерти" dataDxfId="19"/>
    <tableColumn id="3" xr3:uid="{8761A2EB-69D0-42B3-BC4C-189FEFC15F2D}" name="Погребение" dataDxfId="18"/>
    <tableColumn id="4" xr3:uid="{351AFE4F-2E9B-4E81-84E5-66B26FF7EFB2}" name="Местность" dataDxfId="17"/>
    <tableColumn id="5" xr3:uid="{1B591C7D-177E-4D79-B7BD-6D78E9736F92}" name="Имя умершего" dataDxfId="16"/>
    <tableColumn id="6" xr3:uid="{A67DAA5F-F4A7-46FD-96C8-616EA4B3BCC6}" name="Возраст" dataDxfId="15"/>
    <tableColumn id="7" xr3:uid="{0FE2934B-60FF-41CB-8B86-D88B3427BD0B}" name="Причина смерти" dataDxfId="14"/>
    <tableColumn id="8" xr3:uid="{8E043B20-9554-4499-AC22-D290C62FF3A3}" name="комментарий" dataDxfId="13"/>
    <tableColumn id="9" xr3:uid="{E9FACD48-7CD2-44D0-B1B9-A2E3F20F07E2}" name="родственник" dataDxfId="12"/>
    <tableColumn id="10" xr3:uid="{3C74C0C3-7E7C-4009-A7B0-4FB5517A836E}" name="Расч-ный год рождения" dataDxfId="11"/>
    <tableColumn id="11" xr3:uid="{86A2D04F-0B38-4B2C-BCBB-45B0B9B7FC82}" name="Год рож-ния проверен в МК?" dataDxfId="10"/>
    <tableColumn id="12" xr3:uid="{899936CD-CAEC-4191-8219-CEB3B8BBD7C6}" name="Родство" dataDxfId="9"/>
    <tableColumn id="13" xr3:uid="{5BE85776-1F5C-4B34-B77B-B92EFFD12E7B}" name="ссылка на документ" dataDxfId="8"/>
    <tableColumn id="14" xr3:uid="{D88BA25B-E3DA-40C0-ADCB-79801195808E}" name="Год" dataDxfId="7">
      <calculatedColumnFormula>IF(ISTEXT(B2),VALUE(RIGHT(B2,4)),YEAR(B2))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3A4718-350A-4282-B2BF-E6240F7A4E6F}" name="Рев_tb" displayName="Рев_tb" ref="A1:H619" totalsRowShown="0">
  <autoFilter ref="A1:H619" xr:uid="{DF3A4718-350A-4282-B2BF-E6240F7A4E6F}"/>
  <tableColumns count="8">
    <tableColumn id="1" xr3:uid="{69A2DE5A-9D20-43C5-B237-3D72000E66D3}" name="Перепись" dataDxfId="6"/>
    <tableColumn id="2" xr3:uid="{74826D0C-E1E4-494F-A770-8E7A080CE680}" name="Воз-т на момент переписи или предыдущей"/>
    <tableColumn id="3" xr3:uid="{753DBACC-0488-4C1B-B933-7B1548D57DD3}" name="Родился"/>
    <tableColumn id="4" xr3:uid="{01A74E5A-DE09-4A07-90D5-1E548CD06A32}" name="№ в переписи"/>
    <tableColumn id="5" xr3:uid="{5C7C027E-84D3-447D-BBAE-92F79D97EAA7}" name="стр."/>
    <tableColumn id="6" xr3:uid="{4B23B987-6F42-492F-8D2A-393DAFF0BC6B}" name="пер. 1850"/>
    <tableColumn id="7" xr3:uid="{4315B47B-736D-4597-856E-94D2E9C3D013}" name="умер/отдан в рекруты"/>
    <tableColumn id="8" xr3:uid="{B3733573-1C25-4A53-9AEF-53C07CA68012}" name="Перепись года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R19"/>
  <sheetViews>
    <sheetView workbookViewId="0">
      <selection activeCell="R14" sqref="R14"/>
    </sheetView>
  </sheetViews>
  <sheetFormatPr defaultRowHeight="15"/>
  <cols>
    <col min="2" max="2" width="14.5703125" style="1" customWidth="1"/>
    <col min="4" max="4" width="14.85546875" bestFit="1" customWidth="1"/>
    <col min="5" max="5" width="18.28515625" customWidth="1"/>
    <col min="6" max="6" width="10.85546875" customWidth="1"/>
  </cols>
  <sheetData>
    <row r="1" spans="1:18">
      <c r="A1" s="6" t="s">
        <v>2717</v>
      </c>
      <c r="B1" s="44" t="s">
        <v>21</v>
      </c>
      <c r="C1" s="6"/>
      <c r="D1" s="6"/>
    </row>
    <row r="2" spans="1:18">
      <c r="A2" s="7" t="s">
        <v>0</v>
      </c>
      <c r="B2" s="44" t="s">
        <v>163</v>
      </c>
      <c r="C2" s="6" t="s">
        <v>2718</v>
      </c>
      <c r="D2" s="6" t="s">
        <v>164</v>
      </c>
      <c r="E2" s="13" t="s">
        <v>16</v>
      </c>
      <c r="F2" t="s">
        <v>2720</v>
      </c>
      <c r="L2" s="91" t="s">
        <v>3301</v>
      </c>
      <c r="M2" s="86"/>
      <c r="N2" s="86"/>
      <c r="O2" s="86"/>
      <c r="P2" s="86"/>
      <c r="Q2" s="86"/>
      <c r="R2" s="86"/>
    </row>
    <row r="3" spans="1:18">
      <c r="A3" s="7">
        <v>1857</v>
      </c>
      <c r="B3" s="44"/>
      <c r="C3" s="6"/>
      <c r="D3" s="6"/>
      <c r="E3" s="5"/>
      <c r="F3" s="5" t="s">
        <v>4214</v>
      </c>
      <c r="L3" s="86"/>
      <c r="M3" s="86"/>
      <c r="N3" s="86"/>
      <c r="O3" s="86"/>
      <c r="P3" s="86"/>
      <c r="Q3" s="86"/>
      <c r="R3" s="86"/>
    </row>
    <row r="4" spans="1:18">
      <c r="A4" s="7">
        <v>1878</v>
      </c>
      <c r="B4" s="44"/>
      <c r="C4" s="6"/>
      <c r="D4" s="6"/>
      <c r="E4" t="s">
        <v>4867</v>
      </c>
      <c r="F4" s="5" t="s">
        <v>4215</v>
      </c>
      <c r="L4" s="88" t="s">
        <v>3302</v>
      </c>
      <c r="M4" s="86"/>
      <c r="N4" s="86"/>
      <c r="O4" s="86"/>
      <c r="P4" s="86"/>
      <c r="Q4" s="86"/>
      <c r="R4" s="86"/>
    </row>
    <row r="5" spans="1:18">
      <c r="A5" s="7">
        <v>1879</v>
      </c>
      <c r="B5" s="44" t="s">
        <v>3346</v>
      </c>
      <c r="C5" s="6"/>
      <c r="D5" s="6"/>
      <c r="E5" t="s">
        <v>4867</v>
      </c>
      <c r="F5" t="s">
        <v>4216</v>
      </c>
      <c r="L5" s="89" t="s">
        <v>2716</v>
      </c>
      <c r="M5" s="86"/>
      <c r="N5" s="86"/>
      <c r="O5" s="86"/>
      <c r="P5" s="86"/>
      <c r="Q5" s="86"/>
      <c r="R5" s="86"/>
    </row>
    <row r="6" spans="1:18">
      <c r="A6" s="7">
        <v>1880</v>
      </c>
      <c r="B6" s="44"/>
      <c r="C6" s="6"/>
      <c r="D6" s="6"/>
      <c r="E6" t="s">
        <v>4701</v>
      </c>
      <c r="F6" t="s">
        <v>4702</v>
      </c>
      <c r="L6" s="351" t="s">
        <v>4213</v>
      </c>
      <c r="M6" s="86"/>
      <c r="N6" s="86"/>
      <c r="O6" s="86"/>
      <c r="P6" s="86"/>
      <c r="Q6" s="86"/>
      <c r="R6" s="86"/>
    </row>
    <row r="7" spans="1:18">
      <c r="A7" s="7">
        <v>1881</v>
      </c>
      <c r="B7" s="44" t="s">
        <v>4069</v>
      </c>
      <c r="C7" s="6" t="s">
        <v>3901</v>
      </c>
      <c r="D7" s="6"/>
      <c r="E7" t="s">
        <v>4701</v>
      </c>
      <c r="F7" s="5" t="s">
        <v>5073</v>
      </c>
      <c r="L7" s="90" t="s">
        <v>2722</v>
      </c>
      <c r="M7" s="86"/>
      <c r="N7" s="86"/>
      <c r="O7" s="86"/>
      <c r="P7" s="86"/>
      <c r="Q7" s="86"/>
      <c r="R7" s="86"/>
    </row>
    <row r="8" spans="1:18">
      <c r="A8" s="7">
        <v>1882</v>
      </c>
      <c r="B8" s="4" t="s">
        <v>4101</v>
      </c>
      <c r="C8" s="6" t="s">
        <v>4212</v>
      </c>
      <c r="D8" s="6"/>
      <c r="E8" t="s">
        <v>4891</v>
      </c>
      <c r="L8" s="86" t="s">
        <v>3297</v>
      </c>
      <c r="M8" s="86"/>
      <c r="N8" s="86"/>
      <c r="O8" s="86"/>
      <c r="P8" s="86"/>
      <c r="Q8" s="86"/>
      <c r="R8" s="86"/>
    </row>
    <row r="9" spans="1:18">
      <c r="A9" s="7">
        <v>1883</v>
      </c>
      <c r="B9" s="44" t="s">
        <v>5235</v>
      </c>
      <c r="C9" s="6" t="s">
        <v>4084</v>
      </c>
      <c r="D9" s="6" t="s">
        <v>4085</v>
      </c>
      <c r="E9" t="s">
        <v>4891</v>
      </c>
      <c r="F9" s="5"/>
      <c r="L9" s="86" t="s">
        <v>3298</v>
      </c>
      <c r="M9" s="86"/>
      <c r="N9" s="86"/>
      <c r="O9" s="86"/>
      <c r="P9" s="86"/>
      <c r="Q9" s="86"/>
      <c r="R9" s="86"/>
    </row>
    <row r="10" spans="1:18">
      <c r="A10" s="41">
        <v>1900</v>
      </c>
      <c r="B10" s="55"/>
      <c r="C10" s="40" t="s">
        <v>4067</v>
      </c>
      <c r="D10" s="40"/>
      <c r="E10" s="5"/>
      <c r="F10" s="5"/>
      <c r="L10" s="93" t="s">
        <v>5236</v>
      </c>
      <c r="M10" s="86"/>
      <c r="N10" s="86"/>
      <c r="O10" s="86"/>
      <c r="P10" s="86"/>
      <c r="Q10" s="86"/>
      <c r="R10" s="86"/>
    </row>
    <row r="11" spans="1:18">
      <c r="A11" s="41">
        <v>1901</v>
      </c>
      <c r="B11" s="55"/>
      <c r="C11" s="55" t="s">
        <v>3934</v>
      </c>
      <c r="D11" s="40" t="s">
        <v>3937</v>
      </c>
      <c r="E11" t="s">
        <v>4867</v>
      </c>
      <c r="L11" s="86"/>
      <c r="M11" s="86"/>
      <c r="N11" s="86"/>
      <c r="O11" s="86"/>
      <c r="P11" s="86"/>
      <c r="Q11" s="86"/>
      <c r="R11" s="86"/>
    </row>
    <row r="12" spans="1:18">
      <c r="A12" s="41">
        <v>1902</v>
      </c>
      <c r="B12" s="55"/>
      <c r="C12" s="40" t="s">
        <v>4217</v>
      </c>
      <c r="D12" s="40"/>
      <c r="E12" t="s">
        <v>4867</v>
      </c>
      <c r="F12" s="5"/>
      <c r="L12" s="86" t="s">
        <v>3300</v>
      </c>
      <c r="M12" s="86"/>
      <c r="N12" s="86"/>
      <c r="O12" s="86"/>
      <c r="P12" s="86"/>
      <c r="Q12" s="86"/>
      <c r="R12" s="86"/>
    </row>
    <row r="13" spans="1:18">
      <c r="A13" s="41">
        <v>1903</v>
      </c>
      <c r="B13" s="55"/>
      <c r="C13" s="40" t="s">
        <v>3934</v>
      </c>
      <c r="D13" s="40" t="s">
        <v>4066</v>
      </c>
      <c r="E13" s="5"/>
      <c r="F13" s="5"/>
      <c r="L13" s="86" t="s">
        <v>3299</v>
      </c>
      <c r="M13" s="86"/>
      <c r="N13" s="86"/>
      <c r="O13" s="86"/>
      <c r="P13" s="86"/>
      <c r="Q13" s="86"/>
      <c r="R13" s="86"/>
    </row>
    <row r="14" spans="1:18">
      <c r="A14" s="41">
        <v>1904</v>
      </c>
      <c r="B14" s="55"/>
      <c r="C14" s="40" t="s">
        <v>3934</v>
      </c>
      <c r="D14" s="40" t="s">
        <v>3988</v>
      </c>
      <c r="E14" t="s">
        <v>4701</v>
      </c>
      <c r="F14" s="5" t="s">
        <v>3986</v>
      </c>
      <c r="L14" s="86"/>
      <c r="M14" s="86"/>
      <c r="N14" s="86"/>
      <c r="O14" s="86"/>
      <c r="P14" s="86"/>
      <c r="Q14" s="86"/>
      <c r="R14" s="86"/>
    </row>
    <row r="15" spans="1:18">
      <c r="A15" s="41">
        <v>1905</v>
      </c>
      <c r="B15" s="55" t="s">
        <v>2719</v>
      </c>
      <c r="C15" s="55" t="s">
        <v>2719</v>
      </c>
      <c r="D15" s="40" t="s">
        <v>2721</v>
      </c>
      <c r="E15" t="s">
        <v>5074</v>
      </c>
      <c r="L15" s="86"/>
      <c r="M15" s="86"/>
      <c r="N15" s="86"/>
      <c r="O15" s="86"/>
      <c r="P15" s="86"/>
      <c r="Q15" s="86"/>
      <c r="R15" s="86"/>
    </row>
    <row r="16" spans="1:18">
      <c r="A16" s="41">
        <v>1915</v>
      </c>
      <c r="B16" s="55" t="s">
        <v>40</v>
      </c>
      <c r="C16" s="40"/>
      <c r="D16" s="40"/>
      <c r="E16" t="s">
        <v>4701</v>
      </c>
      <c r="L16" s="86"/>
      <c r="M16" s="86"/>
      <c r="N16" s="86"/>
      <c r="O16" s="86"/>
      <c r="P16" s="86"/>
      <c r="Q16" s="86"/>
      <c r="R16" s="86"/>
    </row>
    <row r="17" spans="1:18">
      <c r="A17" s="41">
        <v>1919</v>
      </c>
      <c r="B17" s="55" t="s">
        <v>59</v>
      </c>
      <c r="C17" s="40"/>
      <c r="D17" s="40"/>
      <c r="E17" t="s">
        <v>4701</v>
      </c>
      <c r="L17" s="86"/>
      <c r="M17" s="86"/>
      <c r="N17" s="86"/>
      <c r="O17" s="86"/>
      <c r="P17" s="86"/>
      <c r="Q17" s="86"/>
      <c r="R17" s="86"/>
    </row>
    <row r="18" spans="1:18">
      <c r="A18" s="41">
        <v>1884</v>
      </c>
      <c r="B18" s="55" t="s">
        <v>4108</v>
      </c>
      <c r="C18" s="40"/>
      <c r="D18" s="40"/>
      <c r="E18" s="5"/>
      <c r="F18" s="5"/>
      <c r="L18" s="86"/>
      <c r="M18" s="86"/>
      <c r="N18" s="86"/>
      <c r="O18" s="86"/>
      <c r="P18" s="86"/>
      <c r="Q18" s="86"/>
      <c r="R18" s="86"/>
    </row>
    <row r="19" spans="1:18">
      <c r="L19" s="86"/>
      <c r="M19" s="86"/>
      <c r="N19" s="86"/>
      <c r="O19" s="86"/>
      <c r="P19" s="86"/>
      <c r="Q19" s="86"/>
      <c r="R19" s="8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V115"/>
  <sheetViews>
    <sheetView zoomScaleNormal="100" workbookViewId="0">
      <pane ySplit="1" topLeftCell="A2" activePane="bottomLeft" state="frozen"/>
      <selection pane="bottomLeft" activeCell="M1" sqref="M1:M99"/>
    </sheetView>
  </sheetViews>
  <sheetFormatPr defaultRowHeight="15"/>
  <cols>
    <col min="1" max="1" width="15.85546875" customWidth="1"/>
    <col min="2" max="2" width="35.7109375" bestFit="1" customWidth="1"/>
    <col min="3" max="3" width="17.5703125" style="53" bestFit="1" customWidth="1"/>
    <col min="4" max="4" width="20.42578125" style="53" customWidth="1"/>
    <col min="5" max="5" width="16.140625" bestFit="1" customWidth="1"/>
    <col min="6" max="6" width="36.28515625" bestFit="1" customWidth="1"/>
    <col min="7" max="7" width="21.42578125" style="31" customWidth="1"/>
    <col min="8" max="8" width="23.85546875" bestFit="1" customWidth="1"/>
    <col min="9" max="9" width="22.85546875" customWidth="1"/>
    <col min="10" max="10" width="37.5703125" bestFit="1" customWidth="1"/>
    <col min="11" max="11" width="24.28515625" style="31" customWidth="1"/>
    <col min="12" max="12" width="23.140625" customWidth="1"/>
    <col min="13" max="13" width="33.28515625" bestFit="1" customWidth="1"/>
    <col min="14" max="14" width="33.28515625" customWidth="1"/>
    <col min="15" max="15" width="11.5703125" bestFit="1" customWidth="1"/>
    <col min="16" max="16" width="26.28515625" customWidth="1"/>
    <col min="17" max="17" width="21.140625" style="1" customWidth="1"/>
    <col min="18" max="18" width="19.42578125" customWidth="1"/>
    <col min="19" max="19" width="15.42578125" customWidth="1"/>
    <col min="21" max="21" width="9.140625" customWidth="1"/>
  </cols>
  <sheetData>
    <row r="1" spans="1:22" ht="15.75" thickBot="1">
      <c r="A1" t="s">
        <v>86</v>
      </c>
      <c r="B1" s="245" t="s">
        <v>2</v>
      </c>
      <c r="C1" s="53" t="s">
        <v>17</v>
      </c>
      <c r="D1" s="50" t="s">
        <v>1</v>
      </c>
      <c r="E1" s="2" t="s">
        <v>3</v>
      </c>
      <c r="F1" s="2" t="s">
        <v>4</v>
      </c>
      <c r="G1" s="46" t="s">
        <v>2459</v>
      </c>
      <c r="H1" s="3" t="s">
        <v>5</v>
      </c>
      <c r="I1" s="2" t="s">
        <v>6</v>
      </c>
      <c r="J1" s="2" t="s">
        <v>7</v>
      </c>
      <c r="K1" s="46" t="s">
        <v>2453</v>
      </c>
      <c r="L1" s="2" t="s">
        <v>8</v>
      </c>
      <c r="M1" s="3" t="s">
        <v>9</v>
      </c>
      <c r="N1" s="4" t="s">
        <v>2452</v>
      </c>
      <c r="O1" s="4" t="s">
        <v>11</v>
      </c>
      <c r="P1" s="4" t="s">
        <v>10</v>
      </c>
      <c r="Q1" s="43" t="s">
        <v>23</v>
      </c>
      <c r="R1" s="4" t="s">
        <v>2437</v>
      </c>
      <c r="S1" s="4" t="s">
        <v>3309</v>
      </c>
      <c r="T1" s="75" t="s">
        <v>3292</v>
      </c>
      <c r="V1" s="154" t="s">
        <v>3331</v>
      </c>
    </row>
    <row r="2" spans="1:22" s="200" customFormat="1">
      <c r="A2" s="200">
        <v>1</v>
      </c>
      <c r="B2" s="201" t="s">
        <v>4892</v>
      </c>
      <c r="C2" s="202" t="s">
        <v>130</v>
      </c>
      <c r="D2" s="203" t="s">
        <v>131</v>
      </c>
      <c r="E2" s="204" t="s">
        <v>2439</v>
      </c>
      <c r="F2" s="204" t="s">
        <v>4893</v>
      </c>
      <c r="G2" s="205"/>
      <c r="H2" s="206" t="s">
        <v>4894</v>
      </c>
      <c r="I2" s="204" t="s">
        <v>2439</v>
      </c>
      <c r="J2" s="201" t="s">
        <v>3304</v>
      </c>
      <c r="K2" s="205"/>
      <c r="L2" s="204" t="s">
        <v>2439</v>
      </c>
      <c r="M2" s="206" t="s">
        <v>4703</v>
      </c>
      <c r="N2" s="204"/>
      <c r="O2" s="207" t="s">
        <v>56</v>
      </c>
      <c r="P2" s="207" t="s">
        <v>4701</v>
      </c>
      <c r="Q2" s="208" t="s">
        <v>132</v>
      </c>
      <c r="T2" s="200">
        <f t="shared" ref="T2:T33" si="0">IF(ISTEXT(C2),VALUE(RIGHT(C2,4)),YEAR(C2))</f>
        <v>1860</v>
      </c>
    </row>
    <row r="3" spans="1:22" s="200" customFormat="1">
      <c r="A3" s="200">
        <v>1</v>
      </c>
      <c r="B3" s="193" t="s">
        <v>4895</v>
      </c>
      <c r="C3" s="209" t="s">
        <v>130</v>
      </c>
      <c r="D3" s="209" t="s">
        <v>133</v>
      </c>
      <c r="E3" s="193" t="s">
        <v>2439</v>
      </c>
      <c r="F3" s="193" t="s">
        <v>4896</v>
      </c>
      <c r="G3" s="210"/>
      <c r="H3" s="206" t="s">
        <v>4897</v>
      </c>
      <c r="I3" s="211" t="s">
        <v>2439</v>
      </c>
      <c r="J3" s="193" t="s">
        <v>4218</v>
      </c>
      <c r="K3" s="212"/>
      <c r="L3" s="193" t="s">
        <v>2439</v>
      </c>
      <c r="M3" s="195" t="s">
        <v>4898</v>
      </c>
      <c r="N3" s="204"/>
      <c r="O3" s="207" t="s">
        <v>56</v>
      </c>
      <c r="P3" s="207" t="s">
        <v>4701</v>
      </c>
      <c r="Q3" s="208" t="s">
        <v>132</v>
      </c>
      <c r="T3" s="200">
        <f t="shared" si="0"/>
        <v>1860</v>
      </c>
    </row>
    <row r="4" spans="1:22" s="200" customFormat="1">
      <c r="A4" s="200">
        <v>22</v>
      </c>
      <c r="B4" s="193" t="s">
        <v>2711</v>
      </c>
      <c r="C4" s="209" t="s">
        <v>134</v>
      </c>
      <c r="D4" s="209" t="s">
        <v>134</v>
      </c>
      <c r="E4" s="193" t="s">
        <v>2439</v>
      </c>
      <c r="F4" s="193" t="s">
        <v>2559</v>
      </c>
      <c r="G4" s="213"/>
      <c r="H4" s="195" t="s">
        <v>2688</v>
      </c>
      <c r="I4" s="211" t="s">
        <v>2439</v>
      </c>
      <c r="J4" s="238" t="s">
        <v>4219</v>
      </c>
      <c r="K4" s="212"/>
      <c r="L4" s="193" t="s">
        <v>2439</v>
      </c>
      <c r="M4" s="195" t="s">
        <v>3983</v>
      </c>
      <c r="N4" s="204"/>
      <c r="O4" s="207" t="s">
        <v>56</v>
      </c>
      <c r="P4" s="207" t="s">
        <v>4701</v>
      </c>
      <c r="Q4" s="214" t="s">
        <v>139</v>
      </c>
      <c r="T4" s="200">
        <f t="shared" si="0"/>
        <v>1860</v>
      </c>
    </row>
    <row r="5" spans="1:22" s="200" customFormat="1">
      <c r="A5" s="200">
        <v>25</v>
      </c>
      <c r="B5" s="193" t="s">
        <v>4220</v>
      </c>
      <c r="C5" s="209" t="s">
        <v>135</v>
      </c>
      <c r="D5" s="209" t="s">
        <v>136</v>
      </c>
      <c r="E5" s="193" t="s">
        <v>2439</v>
      </c>
      <c r="F5" s="193" t="s">
        <v>4221</v>
      </c>
      <c r="G5" s="213"/>
      <c r="H5" s="195" t="s">
        <v>4222</v>
      </c>
      <c r="I5" s="211" t="s">
        <v>2439</v>
      </c>
      <c r="J5" s="193" t="s">
        <v>4899</v>
      </c>
      <c r="K5" s="212"/>
      <c r="L5" s="193" t="s">
        <v>2439</v>
      </c>
      <c r="M5" s="195" t="s">
        <v>137</v>
      </c>
      <c r="N5" s="204"/>
      <c r="O5" s="207" t="s">
        <v>56</v>
      </c>
      <c r="P5" s="207" t="s">
        <v>4701</v>
      </c>
      <c r="Q5" s="208" t="s">
        <v>138</v>
      </c>
      <c r="T5" s="200">
        <f t="shared" si="0"/>
        <v>1860</v>
      </c>
    </row>
    <row r="6" spans="1:22" s="200" customFormat="1">
      <c r="A6" s="200">
        <v>30</v>
      </c>
      <c r="B6" s="193" t="s">
        <v>4223</v>
      </c>
      <c r="C6" s="209" t="s">
        <v>140</v>
      </c>
      <c r="D6" s="209" t="s">
        <v>141</v>
      </c>
      <c r="E6" s="193" t="s">
        <v>2439</v>
      </c>
      <c r="F6" s="193" t="s">
        <v>4224</v>
      </c>
      <c r="G6" s="213"/>
      <c r="H6" s="195" t="s">
        <v>4225</v>
      </c>
      <c r="I6" s="215" t="s">
        <v>2439</v>
      </c>
      <c r="J6" s="238" t="s">
        <v>142</v>
      </c>
      <c r="K6" s="212"/>
      <c r="L6" s="193" t="s">
        <v>2439</v>
      </c>
      <c r="M6" s="195" t="s">
        <v>3305</v>
      </c>
      <c r="N6" s="204"/>
      <c r="O6" s="207" t="s">
        <v>56</v>
      </c>
      <c r="P6" s="207" t="s">
        <v>4701</v>
      </c>
      <c r="Q6" s="208" t="s">
        <v>143</v>
      </c>
      <c r="T6" s="200">
        <f t="shared" si="0"/>
        <v>1860</v>
      </c>
    </row>
    <row r="7" spans="1:22" s="200" customFormat="1">
      <c r="A7" s="200">
        <v>34</v>
      </c>
      <c r="B7" s="193" t="s">
        <v>4494</v>
      </c>
      <c r="C7" s="209" t="s">
        <v>144</v>
      </c>
      <c r="D7" s="209" t="s">
        <v>145</v>
      </c>
      <c r="E7" s="193" t="s">
        <v>2439</v>
      </c>
      <c r="F7" s="193" t="s">
        <v>4495</v>
      </c>
      <c r="G7" s="213"/>
      <c r="H7" s="195" t="s">
        <v>4496</v>
      </c>
      <c r="I7" s="211" t="s">
        <v>2439</v>
      </c>
      <c r="J7" s="238" t="s">
        <v>3938</v>
      </c>
      <c r="K7" s="216"/>
      <c r="L7" s="211" t="s">
        <v>2439</v>
      </c>
      <c r="M7" s="195" t="s">
        <v>146</v>
      </c>
      <c r="N7" s="204"/>
      <c r="O7" s="207" t="s">
        <v>56</v>
      </c>
      <c r="P7" s="207" t="s">
        <v>4701</v>
      </c>
      <c r="Q7" s="208" t="s">
        <v>147</v>
      </c>
      <c r="T7" s="200">
        <f t="shared" si="0"/>
        <v>1860</v>
      </c>
    </row>
    <row r="8" spans="1:22" s="200" customFormat="1">
      <c r="A8" s="200">
        <v>140</v>
      </c>
      <c r="B8" s="193" t="s">
        <v>4704</v>
      </c>
      <c r="C8" s="209" t="s">
        <v>159</v>
      </c>
      <c r="D8" s="209"/>
      <c r="E8" s="193" t="s">
        <v>2439</v>
      </c>
      <c r="F8" s="193" t="s">
        <v>4705</v>
      </c>
      <c r="G8" s="213"/>
      <c r="H8" s="195" t="s">
        <v>4706</v>
      </c>
      <c r="I8" s="211" t="s">
        <v>2439</v>
      </c>
      <c r="J8" s="193" t="s">
        <v>160</v>
      </c>
      <c r="K8" s="216"/>
      <c r="L8" s="211" t="s">
        <v>2439</v>
      </c>
      <c r="M8" s="195" t="s">
        <v>161</v>
      </c>
      <c r="N8" s="204"/>
      <c r="O8" s="207" t="s">
        <v>56</v>
      </c>
      <c r="P8" s="207" t="s">
        <v>4701</v>
      </c>
      <c r="Q8" s="208" t="s">
        <v>162</v>
      </c>
      <c r="T8" s="200">
        <f t="shared" si="0"/>
        <v>1860</v>
      </c>
    </row>
    <row r="9" spans="1:22" s="200" customFormat="1">
      <c r="A9" s="204">
        <v>1</v>
      </c>
      <c r="B9" s="193" t="s">
        <v>4497</v>
      </c>
      <c r="C9" s="209" t="s">
        <v>3314</v>
      </c>
      <c r="D9" s="209" t="s">
        <v>3315</v>
      </c>
      <c r="E9" s="193" t="s">
        <v>2439</v>
      </c>
      <c r="F9" s="193" t="s">
        <v>4498</v>
      </c>
      <c r="G9" s="213"/>
      <c r="H9" s="195" t="s">
        <v>4499</v>
      </c>
      <c r="I9" s="211" t="s">
        <v>2439</v>
      </c>
      <c r="J9" s="193" t="s">
        <v>4500</v>
      </c>
      <c r="K9" s="212" t="s">
        <v>3310</v>
      </c>
      <c r="L9" s="193" t="s">
        <v>2439</v>
      </c>
      <c r="M9" s="195" t="s">
        <v>3311</v>
      </c>
      <c r="N9" s="204" t="s">
        <v>3312</v>
      </c>
      <c r="O9" s="207" t="s">
        <v>56</v>
      </c>
      <c r="P9" s="207" t="s">
        <v>4701</v>
      </c>
      <c r="Q9" s="217" t="s">
        <v>3313</v>
      </c>
      <c r="R9" s="204"/>
      <c r="S9" s="204"/>
      <c r="T9" s="218">
        <f t="shared" si="0"/>
        <v>1879</v>
      </c>
    </row>
    <row r="10" spans="1:22" s="200" customFormat="1">
      <c r="B10" s="193" t="s">
        <v>2542</v>
      </c>
      <c r="C10" s="209" t="s">
        <v>61</v>
      </c>
      <c r="D10" s="209" t="s">
        <v>60</v>
      </c>
      <c r="E10" s="193" t="s">
        <v>2439</v>
      </c>
      <c r="F10" s="193" t="s">
        <v>62</v>
      </c>
      <c r="G10" s="213"/>
      <c r="H10" s="195" t="s">
        <v>2679</v>
      </c>
      <c r="I10" s="211" t="s">
        <v>2439</v>
      </c>
      <c r="J10" s="193" t="s">
        <v>4707</v>
      </c>
      <c r="K10" s="212"/>
      <c r="L10" s="193" t="s">
        <v>2439</v>
      </c>
      <c r="M10" s="195"/>
      <c r="N10" s="204"/>
      <c r="O10" s="207" t="s">
        <v>56</v>
      </c>
      <c r="P10" s="207" t="s">
        <v>4701</v>
      </c>
      <c r="Q10" s="214"/>
      <c r="T10" s="200">
        <f t="shared" si="0"/>
        <v>1882</v>
      </c>
    </row>
    <row r="11" spans="1:22" s="200" customFormat="1">
      <c r="B11" s="193" t="s">
        <v>4226</v>
      </c>
      <c r="C11" s="209" t="s">
        <v>63</v>
      </c>
      <c r="D11" s="209" t="s">
        <v>64</v>
      </c>
      <c r="E11" s="193" t="s">
        <v>2439</v>
      </c>
      <c r="F11" s="193" t="s">
        <v>4227</v>
      </c>
      <c r="G11" s="213"/>
      <c r="H11" s="195" t="s">
        <v>4228</v>
      </c>
      <c r="I11" s="211" t="s">
        <v>2439</v>
      </c>
      <c r="J11" s="193" t="s">
        <v>2680</v>
      </c>
      <c r="K11" s="212"/>
      <c r="L11" s="193" t="s">
        <v>2439</v>
      </c>
      <c r="M11" s="195" t="s">
        <v>4229</v>
      </c>
      <c r="N11" s="204"/>
      <c r="O11" s="207" t="s">
        <v>56</v>
      </c>
      <c r="P11" s="207" t="s">
        <v>4701</v>
      </c>
      <c r="Q11" s="214" t="s">
        <v>65</v>
      </c>
      <c r="T11" s="200">
        <f t="shared" si="0"/>
        <v>1882</v>
      </c>
    </row>
    <row r="12" spans="1:22" s="200" customFormat="1">
      <c r="B12" s="193" t="s">
        <v>2539</v>
      </c>
      <c r="C12" s="209" t="s">
        <v>66</v>
      </c>
      <c r="D12" s="209" t="s">
        <v>67</v>
      </c>
      <c r="E12" s="193" t="s">
        <v>68</v>
      </c>
      <c r="F12" s="193" t="s">
        <v>69</v>
      </c>
      <c r="G12" s="213"/>
      <c r="H12" s="195" t="s">
        <v>2681</v>
      </c>
      <c r="I12" s="211" t="s">
        <v>2439</v>
      </c>
      <c r="J12" s="193" t="s">
        <v>2682</v>
      </c>
      <c r="K12" s="212" t="s">
        <v>2563</v>
      </c>
      <c r="L12" s="193" t="s">
        <v>2439</v>
      </c>
      <c r="M12" s="195" t="s">
        <v>4708</v>
      </c>
      <c r="N12" s="204" t="s">
        <v>4709</v>
      </c>
      <c r="O12" s="207" t="s">
        <v>56</v>
      </c>
      <c r="P12" s="207" t="s">
        <v>4701</v>
      </c>
      <c r="Q12" s="214" t="s">
        <v>70</v>
      </c>
      <c r="T12" s="200">
        <f t="shared" si="0"/>
        <v>1882</v>
      </c>
    </row>
    <row r="13" spans="1:22" s="200" customFormat="1">
      <c r="B13" s="193" t="s">
        <v>4230</v>
      </c>
      <c r="C13" s="209" t="s">
        <v>71</v>
      </c>
      <c r="D13" s="209" t="s">
        <v>72</v>
      </c>
      <c r="E13" s="193" t="s">
        <v>2439</v>
      </c>
      <c r="F13" s="219" t="s">
        <v>4231</v>
      </c>
      <c r="G13" s="213" t="s">
        <v>2541</v>
      </c>
      <c r="H13" s="195" t="s">
        <v>73</v>
      </c>
      <c r="I13" s="211" t="s">
        <v>2439</v>
      </c>
      <c r="J13" s="193" t="s">
        <v>4232</v>
      </c>
      <c r="K13" s="212"/>
      <c r="L13" s="193" t="s">
        <v>74</v>
      </c>
      <c r="M13" s="195" t="s">
        <v>75</v>
      </c>
      <c r="N13" s="204"/>
      <c r="O13" s="207" t="s">
        <v>56</v>
      </c>
      <c r="P13" s="207" t="s">
        <v>4701</v>
      </c>
      <c r="Q13" s="208" t="s">
        <v>76</v>
      </c>
      <c r="T13" s="200">
        <f t="shared" si="0"/>
        <v>1882</v>
      </c>
    </row>
    <row r="14" spans="1:22" s="200" customFormat="1">
      <c r="B14" s="193" t="s">
        <v>4900</v>
      </c>
      <c r="C14" s="209" t="s">
        <v>78</v>
      </c>
      <c r="D14" s="209" t="s">
        <v>79</v>
      </c>
      <c r="E14" s="193" t="s">
        <v>80</v>
      </c>
      <c r="F14" s="193" t="s">
        <v>4901</v>
      </c>
      <c r="G14" s="213" t="s">
        <v>2552</v>
      </c>
      <c r="H14" s="195" t="s">
        <v>4902</v>
      </c>
      <c r="I14" s="211" t="s">
        <v>2439</v>
      </c>
      <c r="J14" s="219" t="s">
        <v>4233</v>
      </c>
      <c r="K14" s="212" t="s">
        <v>2710</v>
      </c>
      <c r="L14" s="193" t="s">
        <v>2439</v>
      </c>
      <c r="M14" s="195" t="s">
        <v>81</v>
      </c>
      <c r="N14" s="204"/>
      <c r="O14" s="207" t="s">
        <v>56</v>
      </c>
      <c r="P14" s="207" t="s">
        <v>4701</v>
      </c>
      <c r="Q14" s="214">
        <v>10002</v>
      </c>
      <c r="T14" s="200">
        <f t="shared" si="0"/>
        <v>1882</v>
      </c>
    </row>
    <row r="15" spans="1:22" s="200" customFormat="1">
      <c r="B15" s="193" t="s">
        <v>4234</v>
      </c>
      <c r="C15" s="209" t="s">
        <v>82</v>
      </c>
      <c r="D15" s="209" t="s">
        <v>83</v>
      </c>
      <c r="E15" s="193" t="s">
        <v>2439</v>
      </c>
      <c r="F15" s="193" t="s">
        <v>4235</v>
      </c>
      <c r="G15" s="213"/>
      <c r="H15" s="195" t="s">
        <v>4236</v>
      </c>
      <c r="I15" s="211" t="s">
        <v>2439</v>
      </c>
      <c r="J15" s="193" t="s">
        <v>84</v>
      </c>
      <c r="K15" s="212"/>
      <c r="L15" s="193" t="s">
        <v>2439</v>
      </c>
      <c r="M15" s="195" t="s">
        <v>4237</v>
      </c>
      <c r="N15" s="204"/>
      <c r="O15" s="207" t="s">
        <v>56</v>
      </c>
      <c r="P15" s="207" t="s">
        <v>4701</v>
      </c>
      <c r="Q15" s="208" t="s">
        <v>85</v>
      </c>
      <c r="T15" s="200">
        <f t="shared" si="0"/>
        <v>1882</v>
      </c>
    </row>
    <row r="16" spans="1:22" s="200" customFormat="1">
      <c r="A16" s="200">
        <v>35</v>
      </c>
      <c r="B16" s="193" t="s">
        <v>4501</v>
      </c>
      <c r="C16" s="209" t="s">
        <v>83</v>
      </c>
      <c r="D16" s="209" t="s">
        <v>87</v>
      </c>
      <c r="E16" s="193" t="s">
        <v>2439</v>
      </c>
      <c r="F16" s="193" t="s">
        <v>4498</v>
      </c>
      <c r="G16" s="213"/>
      <c r="H16" s="195" t="s">
        <v>4499</v>
      </c>
      <c r="I16" s="211" t="s">
        <v>2439</v>
      </c>
      <c r="J16" s="193" t="s">
        <v>4502</v>
      </c>
      <c r="K16" s="212"/>
      <c r="L16" s="193" t="s">
        <v>2439</v>
      </c>
      <c r="M16" s="195" t="s">
        <v>88</v>
      </c>
      <c r="N16" s="204"/>
      <c r="O16" s="207" t="s">
        <v>56</v>
      </c>
      <c r="P16" s="207" t="s">
        <v>4701</v>
      </c>
      <c r="Q16" s="208" t="s">
        <v>89</v>
      </c>
      <c r="T16" s="200">
        <f t="shared" si="0"/>
        <v>1882</v>
      </c>
    </row>
    <row r="17" spans="1:20" s="200" customFormat="1">
      <c r="A17" s="200">
        <v>26</v>
      </c>
      <c r="B17" s="193" t="s">
        <v>4503</v>
      </c>
      <c r="C17" s="209" t="s">
        <v>90</v>
      </c>
      <c r="D17" s="209" t="s">
        <v>90</v>
      </c>
      <c r="E17" s="193" t="s">
        <v>2439</v>
      </c>
      <c r="F17" s="193" t="s">
        <v>4504</v>
      </c>
      <c r="G17" s="213"/>
      <c r="H17" s="195" t="s">
        <v>4505</v>
      </c>
      <c r="I17" s="211" t="s">
        <v>2439</v>
      </c>
      <c r="J17" s="193" t="s">
        <v>3307</v>
      </c>
      <c r="K17" s="212"/>
      <c r="L17" s="193" t="s">
        <v>2439</v>
      </c>
      <c r="M17" s="195" t="s">
        <v>91</v>
      </c>
      <c r="N17" s="204"/>
      <c r="O17" s="207" t="s">
        <v>56</v>
      </c>
      <c r="P17" s="207" t="s">
        <v>4701</v>
      </c>
      <c r="Q17" s="214" t="s">
        <v>92</v>
      </c>
      <c r="T17" s="200">
        <f t="shared" si="0"/>
        <v>1882</v>
      </c>
    </row>
    <row r="18" spans="1:20" s="200" customFormat="1">
      <c r="A18" s="200">
        <v>29</v>
      </c>
      <c r="B18" s="193" t="s">
        <v>2543</v>
      </c>
      <c r="C18" s="209" t="s">
        <v>2553</v>
      </c>
      <c r="D18" s="209" t="s">
        <v>2553</v>
      </c>
      <c r="E18" s="193" t="s">
        <v>68</v>
      </c>
      <c r="F18" s="193" t="s">
        <v>2554</v>
      </c>
      <c r="G18" s="213"/>
      <c r="H18" s="195" t="s">
        <v>2684</v>
      </c>
      <c r="I18" s="211" t="s">
        <v>2439</v>
      </c>
      <c r="J18" s="193" t="s">
        <v>4506</v>
      </c>
      <c r="K18" s="212"/>
      <c r="L18" s="193" t="s">
        <v>2439</v>
      </c>
      <c r="M18" s="195" t="s">
        <v>4710</v>
      </c>
      <c r="N18" s="204"/>
      <c r="O18" s="207" t="s">
        <v>56</v>
      </c>
      <c r="P18" s="207" t="s">
        <v>4701</v>
      </c>
      <c r="Q18" s="208" t="s">
        <v>93</v>
      </c>
      <c r="T18" s="200">
        <f t="shared" si="0"/>
        <v>1882</v>
      </c>
    </row>
    <row r="19" spans="1:20" s="200" customFormat="1">
      <c r="A19" s="200">
        <v>31</v>
      </c>
      <c r="B19" s="193" t="s">
        <v>4711</v>
      </c>
      <c r="C19" s="209" t="s">
        <v>94</v>
      </c>
      <c r="D19" s="209" t="s">
        <v>95</v>
      </c>
      <c r="E19" s="193" t="s">
        <v>2439</v>
      </c>
      <c r="F19" s="193" t="s">
        <v>4712</v>
      </c>
      <c r="G19" s="213"/>
      <c r="H19" s="195" t="s">
        <v>4713</v>
      </c>
      <c r="I19" s="211" t="s">
        <v>96</v>
      </c>
      <c r="J19" s="193" t="s">
        <v>97</v>
      </c>
      <c r="K19" s="212"/>
      <c r="L19" s="193" t="s">
        <v>2439</v>
      </c>
      <c r="M19" s="195" t="s">
        <v>4714</v>
      </c>
      <c r="N19" s="204"/>
      <c r="O19" s="207" t="s">
        <v>56</v>
      </c>
      <c r="P19" s="207" t="s">
        <v>4701</v>
      </c>
      <c r="Q19" s="214"/>
      <c r="T19" s="200">
        <f t="shared" si="0"/>
        <v>1882</v>
      </c>
    </row>
    <row r="20" spans="1:20" s="200" customFormat="1">
      <c r="A20" s="200">
        <v>43</v>
      </c>
      <c r="B20" s="193" t="s">
        <v>4715</v>
      </c>
      <c r="C20" s="209" t="s">
        <v>98</v>
      </c>
      <c r="D20" s="209" t="s">
        <v>98</v>
      </c>
      <c r="E20" s="193" t="s">
        <v>2439</v>
      </c>
      <c r="F20" s="193" t="s">
        <v>4716</v>
      </c>
      <c r="G20" s="213"/>
      <c r="H20" s="195" t="s">
        <v>4717</v>
      </c>
      <c r="I20" s="211" t="s">
        <v>2439</v>
      </c>
      <c r="J20" s="193" t="s">
        <v>4712</v>
      </c>
      <c r="K20" s="212"/>
      <c r="L20" s="193" t="s">
        <v>2439</v>
      </c>
      <c r="M20" s="195" t="s">
        <v>4718</v>
      </c>
      <c r="N20" s="204"/>
      <c r="O20" s="207" t="s">
        <v>56</v>
      </c>
      <c r="P20" s="207" t="s">
        <v>4701</v>
      </c>
      <c r="Q20" s="208" t="s">
        <v>99</v>
      </c>
      <c r="T20" s="200">
        <f t="shared" si="0"/>
        <v>1882</v>
      </c>
    </row>
    <row r="21" spans="1:20" s="200" customFormat="1">
      <c r="A21" s="200">
        <v>43</v>
      </c>
      <c r="B21" s="193" t="s">
        <v>2544</v>
      </c>
      <c r="C21" s="209" t="s">
        <v>100</v>
      </c>
      <c r="D21" s="209" t="s">
        <v>101</v>
      </c>
      <c r="E21" s="193" t="s">
        <v>102</v>
      </c>
      <c r="F21" s="193" t="s">
        <v>2555</v>
      </c>
      <c r="G21" s="213"/>
      <c r="H21" s="195" t="s">
        <v>2685</v>
      </c>
      <c r="I21" s="211" t="s">
        <v>103</v>
      </c>
      <c r="J21" s="193" t="s">
        <v>104</v>
      </c>
      <c r="K21" s="212"/>
      <c r="L21" s="193" t="s">
        <v>2439</v>
      </c>
      <c r="M21" s="195" t="s">
        <v>4238</v>
      </c>
      <c r="N21" s="204"/>
      <c r="O21" s="207" t="s">
        <v>56</v>
      </c>
      <c r="P21" s="207" t="s">
        <v>4701</v>
      </c>
      <c r="Q21" s="208" t="s">
        <v>105</v>
      </c>
      <c r="T21" s="200">
        <f t="shared" si="0"/>
        <v>1882</v>
      </c>
    </row>
    <row r="22" spans="1:20" s="200" customFormat="1">
      <c r="A22" s="200">
        <v>51</v>
      </c>
      <c r="B22" s="66" t="s">
        <v>4719</v>
      </c>
      <c r="C22" s="209" t="s">
        <v>106</v>
      </c>
      <c r="D22" s="209" t="s">
        <v>107</v>
      </c>
      <c r="E22" s="193" t="s">
        <v>2439</v>
      </c>
      <c r="F22" s="193" t="s">
        <v>4720</v>
      </c>
      <c r="G22" s="213"/>
      <c r="H22" s="195" t="s">
        <v>4708</v>
      </c>
      <c r="I22" s="211" t="s">
        <v>2439</v>
      </c>
      <c r="J22" s="193" t="s">
        <v>4721</v>
      </c>
      <c r="K22" s="212"/>
      <c r="L22" s="193" t="s">
        <v>2439</v>
      </c>
      <c r="M22" s="195" t="s">
        <v>108</v>
      </c>
      <c r="N22" s="204"/>
      <c r="O22" s="291" t="s">
        <v>4088</v>
      </c>
      <c r="P22" s="207" t="s">
        <v>4701</v>
      </c>
      <c r="Q22" s="208" t="s">
        <v>109</v>
      </c>
      <c r="T22" s="200">
        <f t="shared" si="0"/>
        <v>1882</v>
      </c>
    </row>
    <row r="23" spans="1:20" s="200" customFormat="1">
      <c r="A23" s="200">
        <v>56</v>
      </c>
      <c r="B23" s="193" t="s">
        <v>4507</v>
      </c>
      <c r="C23" s="209" t="s">
        <v>110</v>
      </c>
      <c r="D23" s="209" t="s">
        <v>111</v>
      </c>
      <c r="E23" s="193" t="s">
        <v>2439</v>
      </c>
      <c r="F23" s="193" t="s">
        <v>4508</v>
      </c>
      <c r="G23" s="213"/>
      <c r="H23" s="195" t="s">
        <v>4509</v>
      </c>
      <c r="I23" s="211" t="s">
        <v>2439</v>
      </c>
      <c r="J23" s="193" t="s">
        <v>4510</v>
      </c>
      <c r="K23" s="212" t="s">
        <v>2549</v>
      </c>
      <c r="L23" s="193" t="s">
        <v>2439</v>
      </c>
      <c r="M23" s="195" t="s">
        <v>4511</v>
      </c>
      <c r="N23" s="205" t="s">
        <v>2549</v>
      </c>
      <c r="O23" s="207" t="s">
        <v>56</v>
      </c>
      <c r="P23" s="207" t="s">
        <v>4701</v>
      </c>
      <c r="Q23" s="208" t="s">
        <v>109</v>
      </c>
      <c r="T23" s="200">
        <f t="shared" si="0"/>
        <v>1882</v>
      </c>
    </row>
    <row r="24" spans="1:20" s="200" customFormat="1">
      <c r="A24" s="200">
        <v>69</v>
      </c>
      <c r="B24" s="193" t="s">
        <v>2550</v>
      </c>
      <c r="C24" s="209" t="s">
        <v>112</v>
      </c>
      <c r="D24" s="209" t="s">
        <v>113</v>
      </c>
      <c r="E24" s="193" t="s">
        <v>114</v>
      </c>
      <c r="F24" s="193" t="s">
        <v>2556</v>
      </c>
      <c r="G24" s="213"/>
      <c r="H24" s="195" t="s">
        <v>3303</v>
      </c>
      <c r="I24" s="211" t="s">
        <v>2439</v>
      </c>
      <c r="J24" s="238" t="s">
        <v>4512</v>
      </c>
      <c r="K24" s="212"/>
      <c r="L24" s="193" t="s">
        <v>2439</v>
      </c>
      <c r="M24" s="195" t="s">
        <v>121</v>
      </c>
      <c r="N24" s="204"/>
      <c r="O24" s="207" t="s">
        <v>56</v>
      </c>
      <c r="P24" s="207" t="s">
        <v>4701</v>
      </c>
      <c r="Q24" s="208" t="s">
        <v>116</v>
      </c>
      <c r="T24" s="200">
        <f t="shared" si="0"/>
        <v>1882</v>
      </c>
    </row>
    <row r="25" spans="1:20" s="200" customFormat="1">
      <c r="A25" s="200">
        <v>71</v>
      </c>
      <c r="B25" s="193" t="s">
        <v>4239</v>
      </c>
      <c r="C25" s="209" t="s">
        <v>113</v>
      </c>
      <c r="D25" s="209" t="s">
        <v>115</v>
      </c>
      <c r="E25" s="193" t="s">
        <v>2439</v>
      </c>
      <c r="F25" s="193" t="s">
        <v>4240</v>
      </c>
      <c r="G25" s="213"/>
      <c r="H25" s="195" t="s">
        <v>4241</v>
      </c>
      <c r="I25" s="211"/>
      <c r="J25" s="193"/>
      <c r="K25" s="212"/>
      <c r="L25" s="193" t="s">
        <v>2439</v>
      </c>
      <c r="M25" s="195" t="s">
        <v>120</v>
      </c>
      <c r="N25" s="204"/>
      <c r="O25" s="207" t="s">
        <v>56</v>
      </c>
      <c r="P25" s="207" t="s">
        <v>4701</v>
      </c>
      <c r="Q25" s="214"/>
      <c r="T25" s="200">
        <f t="shared" si="0"/>
        <v>1882</v>
      </c>
    </row>
    <row r="26" spans="1:20" s="200" customFormat="1">
      <c r="A26" s="200">
        <v>65</v>
      </c>
      <c r="B26" s="193" t="s">
        <v>117</v>
      </c>
      <c r="C26" s="209" t="s">
        <v>118</v>
      </c>
      <c r="D26" s="209" t="s">
        <v>119</v>
      </c>
      <c r="E26" s="193" t="s">
        <v>2439</v>
      </c>
      <c r="F26" s="193" t="s">
        <v>2557</v>
      </c>
      <c r="G26" s="213"/>
      <c r="H26" s="195" t="s">
        <v>2686</v>
      </c>
      <c r="I26" s="211" t="s">
        <v>2439</v>
      </c>
      <c r="J26" s="280" t="s">
        <v>4722</v>
      </c>
      <c r="K26" s="212"/>
      <c r="L26" s="193" t="s">
        <v>2439</v>
      </c>
      <c r="M26" s="195" t="s">
        <v>5075</v>
      </c>
      <c r="N26" s="204"/>
      <c r="O26" s="207" t="s">
        <v>56</v>
      </c>
      <c r="P26" s="207" t="s">
        <v>4701</v>
      </c>
      <c r="Q26" s="214"/>
      <c r="T26" s="200">
        <f t="shared" si="0"/>
        <v>1882</v>
      </c>
    </row>
    <row r="27" spans="1:20" s="200" customFormat="1">
      <c r="A27" s="200">
        <v>66</v>
      </c>
      <c r="B27" s="193" t="s">
        <v>2551</v>
      </c>
      <c r="C27" s="209" t="s">
        <v>122</v>
      </c>
      <c r="D27" s="209" t="s">
        <v>123</v>
      </c>
      <c r="E27" s="193" t="s">
        <v>2439</v>
      </c>
      <c r="F27" s="193" t="s">
        <v>2558</v>
      </c>
      <c r="G27" s="213"/>
      <c r="H27" s="195" t="s">
        <v>2687</v>
      </c>
      <c r="I27" s="211" t="s">
        <v>124</v>
      </c>
      <c r="J27" s="193" t="s">
        <v>125</v>
      </c>
      <c r="K27" s="212"/>
      <c r="L27" s="193" t="s">
        <v>2439</v>
      </c>
      <c r="M27" s="195" t="s">
        <v>4242</v>
      </c>
      <c r="N27" s="204"/>
      <c r="O27" s="207" t="s">
        <v>56</v>
      </c>
      <c r="P27" s="207" t="s">
        <v>4701</v>
      </c>
      <c r="Q27" s="208" t="s">
        <v>126</v>
      </c>
      <c r="T27" s="200">
        <f t="shared" si="0"/>
        <v>1882</v>
      </c>
    </row>
    <row r="28" spans="1:20" s="200" customFormat="1">
      <c r="A28" s="200">
        <v>125</v>
      </c>
      <c r="B28" s="193" t="s">
        <v>4243</v>
      </c>
      <c r="C28" s="209" t="s">
        <v>122</v>
      </c>
      <c r="D28" s="209" t="s">
        <v>127</v>
      </c>
      <c r="E28" s="193" t="s">
        <v>128</v>
      </c>
      <c r="F28" s="219" t="s">
        <v>4244</v>
      </c>
      <c r="G28" s="213" t="s">
        <v>2545</v>
      </c>
      <c r="H28" s="195" t="s">
        <v>4245</v>
      </c>
      <c r="I28" s="211" t="s">
        <v>2548</v>
      </c>
      <c r="J28" s="219" t="s">
        <v>2547</v>
      </c>
      <c r="K28" s="212" t="s">
        <v>2546</v>
      </c>
      <c r="L28" s="193"/>
      <c r="M28" s="195" t="s">
        <v>2723</v>
      </c>
      <c r="N28" s="204"/>
      <c r="O28" s="207" t="s">
        <v>56</v>
      </c>
      <c r="P28" s="207" t="s">
        <v>4701</v>
      </c>
      <c r="Q28" s="208" t="s">
        <v>129</v>
      </c>
      <c r="T28" s="200">
        <f t="shared" si="0"/>
        <v>1882</v>
      </c>
    </row>
    <row r="29" spans="1:20" s="200" customFormat="1">
      <c r="B29" s="17" t="s">
        <v>4513</v>
      </c>
      <c r="C29" s="209">
        <v>891</v>
      </c>
      <c r="D29" s="209">
        <v>893</v>
      </c>
      <c r="E29" s="193" t="s">
        <v>2439</v>
      </c>
      <c r="F29" s="258" t="s">
        <v>4514</v>
      </c>
      <c r="G29" s="48"/>
      <c r="H29" s="260" t="s">
        <v>4515</v>
      </c>
      <c r="I29" s="220" t="s">
        <v>2439</v>
      </c>
      <c r="J29" s="45" t="s">
        <v>4516</v>
      </c>
      <c r="K29" s="68" t="s">
        <v>2449</v>
      </c>
      <c r="L29" s="76" t="s">
        <v>2439</v>
      </c>
      <c r="M29" s="195" t="s">
        <v>2529</v>
      </c>
      <c r="N29" s="207" t="s">
        <v>4723</v>
      </c>
      <c r="O29" s="207" t="s">
        <v>18</v>
      </c>
      <c r="P29" s="221"/>
      <c r="Q29" s="214"/>
      <c r="T29" s="200">
        <f t="shared" si="0"/>
        <v>1902</v>
      </c>
    </row>
    <row r="30" spans="1:20" s="200" customFormat="1">
      <c r="B30" s="17" t="s">
        <v>4517</v>
      </c>
      <c r="C30" s="209">
        <v>1344</v>
      </c>
      <c r="D30" s="209">
        <v>1346</v>
      </c>
      <c r="E30" s="193" t="s">
        <v>2439</v>
      </c>
      <c r="F30" s="258" t="s">
        <v>4514</v>
      </c>
      <c r="G30" s="48"/>
      <c r="H30" s="260" t="s">
        <v>4515</v>
      </c>
      <c r="I30" s="211" t="s">
        <v>2439</v>
      </c>
      <c r="J30" s="45" t="s">
        <v>4724</v>
      </c>
      <c r="K30" s="212"/>
      <c r="L30" s="193"/>
      <c r="M30" s="195" t="s">
        <v>4518</v>
      </c>
      <c r="N30" s="193" t="s">
        <v>2675</v>
      </c>
      <c r="O30" s="207" t="s">
        <v>18</v>
      </c>
      <c r="P30" s="205"/>
      <c r="Q30" s="214"/>
      <c r="T30" s="200">
        <f t="shared" si="0"/>
        <v>1903</v>
      </c>
    </row>
    <row r="31" spans="1:20" s="200" customFormat="1">
      <c r="A31" s="200">
        <v>120</v>
      </c>
      <c r="B31" s="17" t="s">
        <v>4246</v>
      </c>
      <c r="C31" s="209">
        <v>2059</v>
      </c>
      <c r="D31" s="209">
        <v>2060</v>
      </c>
      <c r="E31" s="193" t="s">
        <v>2439</v>
      </c>
      <c r="F31" s="17" t="s">
        <v>4247</v>
      </c>
      <c r="G31" s="48"/>
      <c r="H31" s="18" t="s">
        <v>4248</v>
      </c>
      <c r="I31" s="211" t="s">
        <v>2439</v>
      </c>
      <c r="J31" s="193" t="s">
        <v>1411</v>
      </c>
      <c r="K31" s="212"/>
      <c r="L31" s="193" t="s">
        <v>2439</v>
      </c>
      <c r="M31" s="195" t="s">
        <v>4903</v>
      </c>
      <c r="N31" s="204"/>
      <c r="O31" s="207" t="s">
        <v>18</v>
      </c>
      <c r="P31" s="207" t="s">
        <v>4701</v>
      </c>
      <c r="Q31" s="214" t="s">
        <v>2560</v>
      </c>
      <c r="T31" s="200">
        <f t="shared" si="0"/>
        <v>1905</v>
      </c>
    </row>
    <row r="32" spans="1:20" s="200" customFormat="1">
      <c r="A32" s="200">
        <v>24</v>
      </c>
      <c r="B32" s="193" t="s">
        <v>4725</v>
      </c>
      <c r="C32" s="209">
        <v>1880</v>
      </c>
      <c r="D32" s="209">
        <v>1881</v>
      </c>
      <c r="E32" s="193" t="s">
        <v>2439</v>
      </c>
      <c r="F32" s="193" t="s">
        <v>4726</v>
      </c>
      <c r="G32" s="213"/>
      <c r="H32" s="195" t="s">
        <v>166</v>
      </c>
      <c r="I32" s="211" t="s">
        <v>2439</v>
      </c>
      <c r="J32" s="193" t="s">
        <v>167</v>
      </c>
      <c r="K32" s="212"/>
      <c r="L32" s="193" t="s">
        <v>2439</v>
      </c>
      <c r="M32" s="195" t="s">
        <v>168</v>
      </c>
      <c r="N32" s="204"/>
      <c r="O32" s="207" t="s">
        <v>56</v>
      </c>
      <c r="P32" s="207" t="s">
        <v>4701</v>
      </c>
      <c r="Q32" s="208" t="s">
        <v>169</v>
      </c>
      <c r="T32" s="200">
        <f t="shared" si="0"/>
        <v>1905</v>
      </c>
    </row>
    <row r="33" spans="1:20" s="200" customFormat="1">
      <c r="A33" s="200">
        <v>26</v>
      </c>
      <c r="B33" s="193" t="s">
        <v>4519</v>
      </c>
      <c r="C33" s="209">
        <v>1882</v>
      </c>
      <c r="D33" s="209">
        <v>1884</v>
      </c>
      <c r="E33" s="193" t="s">
        <v>2431</v>
      </c>
      <c r="F33" s="193" t="s">
        <v>4520</v>
      </c>
      <c r="G33" s="213"/>
      <c r="H33" s="195" t="s">
        <v>4521</v>
      </c>
      <c r="I33" s="211" t="s">
        <v>2431</v>
      </c>
      <c r="J33" s="193" t="s">
        <v>170</v>
      </c>
      <c r="K33" s="212"/>
      <c r="L33" s="193" t="s">
        <v>2431</v>
      </c>
      <c r="M33" s="195" t="s">
        <v>4904</v>
      </c>
      <c r="N33" s="204"/>
      <c r="O33" s="207" t="s">
        <v>56</v>
      </c>
      <c r="P33" s="207" t="s">
        <v>4701</v>
      </c>
      <c r="Q33" s="208" t="s">
        <v>171</v>
      </c>
      <c r="T33" s="200">
        <f t="shared" si="0"/>
        <v>1905</v>
      </c>
    </row>
    <row r="34" spans="1:20" s="200" customFormat="1">
      <c r="A34" s="200">
        <v>34</v>
      </c>
      <c r="B34" s="193" t="s">
        <v>4522</v>
      </c>
      <c r="C34" s="209">
        <v>1898</v>
      </c>
      <c r="D34" s="209">
        <v>1899</v>
      </c>
      <c r="E34" s="193" t="s">
        <v>2439</v>
      </c>
      <c r="F34" s="193" t="s">
        <v>4523</v>
      </c>
      <c r="G34" s="213"/>
      <c r="H34" s="195" t="s">
        <v>4524</v>
      </c>
      <c r="I34" s="211" t="s">
        <v>2439</v>
      </c>
      <c r="J34" s="193" t="s">
        <v>4249</v>
      </c>
      <c r="K34" s="212"/>
      <c r="L34" s="193" t="s">
        <v>2439</v>
      </c>
      <c r="M34" s="195" t="s">
        <v>4525</v>
      </c>
      <c r="N34" s="207" t="s">
        <v>2561</v>
      </c>
      <c r="O34" s="207" t="s">
        <v>56</v>
      </c>
      <c r="P34" s="207" t="s">
        <v>4701</v>
      </c>
      <c r="Q34" s="208" t="s">
        <v>172</v>
      </c>
      <c r="T34" s="200">
        <f t="shared" ref="T34:T65" si="1">IF(ISTEXT(C34),VALUE(RIGHT(C34,4)),YEAR(C34))</f>
        <v>1905</v>
      </c>
    </row>
    <row r="35" spans="1:20" s="200" customFormat="1">
      <c r="A35" s="200">
        <v>36</v>
      </c>
      <c r="B35" s="193" t="s">
        <v>4526</v>
      </c>
      <c r="C35" s="209">
        <v>1906</v>
      </c>
      <c r="D35" s="209">
        <v>1906</v>
      </c>
      <c r="E35" s="193" t="s">
        <v>2439</v>
      </c>
      <c r="F35" s="193" t="s">
        <v>4527</v>
      </c>
      <c r="G35" s="213"/>
      <c r="H35" s="195" t="s">
        <v>4528</v>
      </c>
      <c r="I35" s="193" t="s">
        <v>2439</v>
      </c>
      <c r="J35" s="193" t="s">
        <v>4529</v>
      </c>
      <c r="K35" s="212"/>
      <c r="L35" s="193" t="s">
        <v>2439</v>
      </c>
      <c r="M35" s="195" t="s">
        <v>173</v>
      </c>
      <c r="N35" s="204"/>
      <c r="O35" s="207" t="s">
        <v>56</v>
      </c>
      <c r="P35" s="207" t="s">
        <v>4701</v>
      </c>
      <c r="Q35" s="208" t="s">
        <v>174</v>
      </c>
      <c r="T35" s="200">
        <f t="shared" si="1"/>
        <v>1905</v>
      </c>
    </row>
    <row r="36" spans="1:20" s="200" customFormat="1">
      <c r="A36" s="200">
        <v>36</v>
      </c>
      <c r="B36" s="193" t="s">
        <v>4250</v>
      </c>
      <c r="C36" s="209">
        <v>1908</v>
      </c>
      <c r="D36" s="209">
        <v>1909</v>
      </c>
      <c r="E36" s="193" t="s">
        <v>2439</v>
      </c>
      <c r="F36" s="193" t="s">
        <v>4249</v>
      </c>
      <c r="G36" s="213"/>
      <c r="H36" s="195" t="s">
        <v>4251</v>
      </c>
      <c r="I36" s="211" t="s">
        <v>2439</v>
      </c>
      <c r="J36" s="193" t="s">
        <v>5076</v>
      </c>
      <c r="K36" s="212"/>
      <c r="L36" s="193" t="s">
        <v>2439</v>
      </c>
      <c r="M36" s="195" t="s">
        <v>176</v>
      </c>
      <c r="N36" s="204"/>
      <c r="O36" s="207" t="s">
        <v>56</v>
      </c>
      <c r="P36" s="207" t="s">
        <v>4701</v>
      </c>
      <c r="Q36" s="208" t="s">
        <v>177</v>
      </c>
      <c r="T36" s="200">
        <f t="shared" si="1"/>
        <v>1905</v>
      </c>
    </row>
    <row r="37" spans="1:20" s="200" customFormat="1">
      <c r="A37" s="200">
        <v>37</v>
      </c>
      <c r="B37" s="193" t="s">
        <v>4905</v>
      </c>
      <c r="C37" s="209">
        <v>1909</v>
      </c>
      <c r="D37" s="209">
        <v>1970</v>
      </c>
      <c r="E37" s="193" t="s">
        <v>2439</v>
      </c>
      <c r="F37" s="193" t="s">
        <v>4906</v>
      </c>
      <c r="G37" s="213"/>
      <c r="H37" s="195" t="s">
        <v>4907</v>
      </c>
      <c r="I37" s="211" t="s">
        <v>2439</v>
      </c>
      <c r="J37" s="193" t="s">
        <v>4252</v>
      </c>
      <c r="K37" s="212"/>
      <c r="L37" s="193" t="s">
        <v>2439</v>
      </c>
      <c r="M37" s="195" t="s">
        <v>178</v>
      </c>
      <c r="N37" s="204"/>
      <c r="O37" s="207" t="s">
        <v>56</v>
      </c>
      <c r="P37" s="207" t="s">
        <v>4701</v>
      </c>
      <c r="Q37" s="208" t="s">
        <v>177</v>
      </c>
      <c r="T37" s="200">
        <f t="shared" si="1"/>
        <v>1905</v>
      </c>
    </row>
    <row r="38" spans="1:20" s="200" customFormat="1">
      <c r="A38" s="200">
        <v>47</v>
      </c>
      <c r="B38" s="66" t="s">
        <v>4530</v>
      </c>
      <c r="C38" s="209">
        <v>1920</v>
      </c>
      <c r="D38" s="209">
        <v>1921</v>
      </c>
      <c r="E38" s="193" t="s">
        <v>2431</v>
      </c>
      <c r="F38" s="193" t="s">
        <v>179</v>
      </c>
      <c r="G38" s="213"/>
      <c r="H38" s="195" t="s">
        <v>4531</v>
      </c>
      <c r="I38" s="211" t="s">
        <v>2432</v>
      </c>
      <c r="J38" s="193" t="s">
        <v>2419</v>
      </c>
      <c r="K38" s="212"/>
      <c r="L38" s="193"/>
      <c r="M38" s="195" t="s">
        <v>180</v>
      </c>
      <c r="N38" s="204"/>
      <c r="O38" s="207" t="s">
        <v>2674</v>
      </c>
      <c r="P38" s="207" t="s">
        <v>4701</v>
      </c>
      <c r="Q38" s="208" t="s">
        <v>181</v>
      </c>
      <c r="T38" s="200">
        <f t="shared" si="1"/>
        <v>1905</v>
      </c>
    </row>
    <row r="39" spans="1:20" s="200" customFormat="1">
      <c r="A39" s="200">
        <v>48</v>
      </c>
      <c r="B39" s="193" t="s">
        <v>4727</v>
      </c>
      <c r="C39" s="209">
        <v>1920</v>
      </c>
      <c r="D39" s="209">
        <v>1921</v>
      </c>
      <c r="E39" s="193" t="s">
        <v>2439</v>
      </c>
      <c r="F39" s="193" t="s">
        <v>4728</v>
      </c>
      <c r="G39" s="213"/>
      <c r="H39" s="195" t="s">
        <v>4729</v>
      </c>
      <c r="I39" s="211" t="s">
        <v>2439</v>
      </c>
      <c r="J39" s="193" t="s">
        <v>959</v>
      </c>
      <c r="K39" s="212"/>
      <c r="L39" s="193" t="s">
        <v>2439</v>
      </c>
      <c r="M39" s="195" t="s">
        <v>2454</v>
      </c>
      <c r="N39" s="207" t="s">
        <v>2455</v>
      </c>
      <c r="O39" s="207" t="s">
        <v>56</v>
      </c>
      <c r="P39" s="207" t="s">
        <v>4701</v>
      </c>
      <c r="Q39" s="208" t="s">
        <v>181</v>
      </c>
      <c r="T39" s="200">
        <f t="shared" si="1"/>
        <v>1905</v>
      </c>
    </row>
    <row r="40" spans="1:20" s="200" customFormat="1">
      <c r="A40" s="200">
        <v>53</v>
      </c>
      <c r="B40" s="66" t="s">
        <v>4730</v>
      </c>
      <c r="C40" s="209">
        <v>1934</v>
      </c>
      <c r="D40" s="209">
        <v>1935</v>
      </c>
      <c r="E40" s="193" t="s">
        <v>2439</v>
      </c>
      <c r="F40" s="193" t="s">
        <v>4731</v>
      </c>
      <c r="G40" s="213"/>
      <c r="H40" s="195" t="s">
        <v>4732</v>
      </c>
      <c r="I40" s="211"/>
      <c r="J40" s="193" t="s">
        <v>22</v>
      </c>
      <c r="K40" s="212"/>
      <c r="L40" s="193" t="s">
        <v>2439</v>
      </c>
      <c r="M40" s="195" t="s">
        <v>2420</v>
      </c>
      <c r="N40" s="204"/>
      <c r="O40" s="207" t="s">
        <v>2648</v>
      </c>
      <c r="P40" s="207" t="s">
        <v>4867</v>
      </c>
      <c r="Q40" s="208" t="s">
        <v>2421</v>
      </c>
      <c r="T40" s="200">
        <f t="shared" si="1"/>
        <v>1905</v>
      </c>
    </row>
    <row r="41" spans="1:20" s="200" customFormat="1">
      <c r="A41" s="200">
        <v>61</v>
      </c>
      <c r="B41" s="66" t="s">
        <v>4532</v>
      </c>
      <c r="C41" s="209">
        <v>1953</v>
      </c>
      <c r="D41" s="209">
        <v>1955</v>
      </c>
      <c r="E41" s="193" t="s">
        <v>2439</v>
      </c>
      <c r="F41" s="193" t="s">
        <v>4533</v>
      </c>
      <c r="G41" s="213"/>
      <c r="H41" s="195" t="s">
        <v>4534</v>
      </c>
      <c r="I41" s="211" t="s">
        <v>2439</v>
      </c>
      <c r="J41" s="193" t="s">
        <v>2438</v>
      </c>
      <c r="K41" s="212"/>
      <c r="L41" s="193" t="s">
        <v>2439</v>
      </c>
      <c r="M41" s="195" t="s">
        <v>2440</v>
      </c>
      <c r="N41" s="204"/>
      <c r="O41" s="207" t="s">
        <v>2661</v>
      </c>
      <c r="P41" s="207" t="s">
        <v>4867</v>
      </c>
      <c r="Q41" s="208" t="s">
        <v>2441</v>
      </c>
      <c r="T41" s="200">
        <f t="shared" si="1"/>
        <v>1905</v>
      </c>
    </row>
    <row r="42" spans="1:20" s="200" customFormat="1">
      <c r="A42" s="200">
        <v>69</v>
      </c>
      <c r="B42" s="193" t="s">
        <v>4733</v>
      </c>
      <c r="C42" s="209">
        <v>1963</v>
      </c>
      <c r="D42" s="209">
        <v>1964</v>
      </c>
      <c r="E42" s="193" t="s">
        <v>2442</v>
      </c>
      <c r="F42" s="193" t="s">
        <v>4734</v>
      </c>
      <c r="G42" s="213"/>
      <c r="H42" s="195" t="s">
        <v>4735</v>
      </c>
      <c r="I42" s="211" t="s">
        <v>2442</v>
      </c>
      <c r="J42" s="193" t="s">
        <v>2451</v>
      </c>
      <c r="K42" s="212" t="s">
        <v>2450</v>
      </c>
      <c r="L42" s="193" t="s">
        <v>2442</v>
      </c>
      <c r="M42" s="195" t="s">
        <v>2443</v>
      </c>
      <c r="N42" s="204"/>
      <c r="O42" s="207" t="s">
        <v>56</v>
      </c>
      <c r="P42" s="207" t="s">
        <v>4867</v>
      </c>
      <c r="Q42" s="208" t="s">
        <v>2444</v>
      </c>
      <c r="T42" s="200">
        <f t="shared" si="1"/>
        <v>1905</v>
      </c>
    </row>
    <row r="43" spans="1:20" s="200" customFormat="1">
      <c r="A43" s="200">
        <v>76</v>
      </c>
      <c r="B43" s="193" t="s">
        <v>2445</v>
      </c>
      <c r="C43" s="209">
        <v>1983</v>
      </c>
      <c r="D43" s="209">
        <v>1985</v>
      </c>
      <c r="E43" s="193" t="s">
        <v>2439</v>
      </c>
      <c r="F43" s="193" t="s">
        <v>2446</v>
      </c>
      <c r="G43" s="213"/>
      <c r="H43" s="195" t="s">
        <v>2689</v>
      </c>
      <c r="I43" s="211" t="s">
        <v>2439</v>
      </c>
      <c r="J43" s="193" t="s">
        <v>4535</v>
      </c>
      <c r="K43" s="212"/>
      <c r="L43" s="193" t="s">
        <v>2442</v>
      </c>
      <c r="M43" s="195" t="s">
        <v>2447</v>
      </c>
      <c r="N43" s="204"/>
      <c r="O43" s="207" t="s">
        <v>56</v>
      </c>
      <c r="P43" s="207" t="s">
        <v>4867</v>
      </c>
      <c r="Q43" s="208" t="s">
        <v>2448</v>
      </c>
      <c r="T43" s="200">
        <f t="shared" si="1"/>
        <v>1905</v>
      </c>
    </row>
    <row r="44" spans="1:20" s="200" customFormat="1">
      <c r="A44" s="200">
        <v>86</v>
      </c>
      <c r="B44" s="193" t="s">
        <v>4736</v>
      </c>
      <c r="C44" s="209">
        <v>2003</v>
      </c>
      <c r="D44" s="209">
        <v>2004</v>
      </c>
      <c r="E44" s="193" t="s">
        <v>2439</v>
      </c>
      <c r="F44" s="193" t="s">
        <v>4737</v>
      </c>
      <c r="G44" s="213"/>
      <c r="H44" s="195" t="s">
        <v>4738</v>
      </c>
      <c r="I44" s="211" t="s">
        <v>2439</v>
      </c>
      <c r="J44" s="193" t="s">
        <v>4739</v>
      </c>
      <c r="K44" s="212" t="s">
        <v>2449</v>
      </c>
      <c r="L44" s="193" t="s">
        <v>2439</v>
      </c>
      <c r="M44" s="195" t="s">
        <v>2457</v>
      </c>
      <c r="N44" s="204" t="s">
        <v>2456</v>
      </c>
      <c r="O44" s="207" t="s">
        <v>56</v>
      </c>
      <c r="P44" s="207" t="s">
        <v>5077</v>
      </c>
      <c r="Q44" s="217" t="s">
        <v>2458</v>
      </c>
      <c r="T44" s="200">
        <f t="shared" si="1"/>
        <v>1905</v>
      </c>
    </row>
    <row r="45" spans="1:20" s="200" customFormat="1">
      <c r="A45" s="200">
        <v>83</v>
      </c>
      <c r="B45" s="66" t="s">
        <v>4740</v>
      </c>
      <c r="C45" s="209">
        <v>2004</v>
      </c>
      <c r="D45" s="209">
        <v>2006</v>
      </c>
      <c r="E45" s="193" t="s">
        <v>2439</v>
      </c>
      <c r="F45" s="193" t="s">
        <v>4253</v>
      </c>
      <c r="G45" s="213" t="s">
        <v>2460</v>
      </c>
      <c r="H45" s="195" t="s">
        <v>4254</v>
      </c>
      <c r="I45" s="193"/>
      <c r="J45" s="193"/>
      <c r="K45" s="212"/>
      <c r="L45" s="193" t="s">
        <v>2461</v>
      </c>
      <c r="M45" s="195" t="s">
        <v>2462</v>
      </c>
      <c r="N45" s="204" t="s">
        <v>2463</v>
      </c>
      <c r="O45" s="207" t="s">
        <v>2663</v>
      </c>
      <c r="P45" s="207" t="s">
        <v>5077</v>
      </c>
      <c r="Q45" s="217" t="s">
        <v>2458</v>
      </c>
      <c r="T45" s="200">
        <f t="shared" si="1"/>
        <v>1905</v>
      </c>
    </row>
    <row r="46" spans="1:20" s="200" customFormat="1">
      <c r="A46" s="200">
        <v>87</v>
      </c>
      <c r="B46" s="193" t="s">
        <v>5078</v>
      </c>
      <c r="C46" s="209">
        <v>2005</v>
      </c>
      <c r="D46" s="209">
        <v>2006</v>
      </c>
      <c r="E46" s="193" t="s">
        <v>2439</v>
      </c>
      <c r="F46" s="193" t="s">
        <v>5079</v>
      </c>
      <c r="G46" s="213" t="s">
        <v>2464</v>
      </c>
      <c r="H46" s="195" t="s">
        <v>5080</v>
      </c>
      <c r="I46" s="211" t="s">
        <v>2439</v>
      </c>
      <c r="J46" s="193" t="s">
        <v>5081</v>
      </c>
      <c r="K46" s="212" t="s">
        <v>2465</v>
      </c>
      <c r="L46" s="193"/>
      <c r="M46" s="195" t="s">
        <v>2466</v>
      </c>
      <c r="N46" s="204" t="s">
        <v>2467</v>
      </c>
      <c r="O46" s="207" t="s">
        <v>56</v>
      </c>
      <c r="P46" s="207" t="s">
        <v>5077</v>
      </c>
      <c r="Q46" s="217" t="s">
        <v>2458</v>
      </c>
      <c r="T46" s="200">
        <f t="shared" si="1"/>
        <v>1905</v>
      </c>
    </row>
    <row r="47" spans="1:20" s="200" customFormat="1">
      <c r="A47" s="200">
        <v>91</v>
      </c>
      <c r="B47" s="193" t="s">
        <v>5082</v>
      </c>
      <c r="C47" s="209">
        <v>2024</v>
      </c>
      <c r="D47" s="209">
        <v>2025</v>
      </c>
      <c r="E47" s="193" t="s">
        <v>2439</v>
      </c>
      <c r="F47" s="193" t="s">
        <v>5083</v>
      </c>
      <c r="G47" s="213"/>
      <c r="H47" s="195" t="s">
        <v>5084</v>
      </c>
      <c r="I47" s="211" t="s">
        <v>2439</v>
      </c>
      <c r="J47" s="193" t="s">
        <v>5085</v>
      </c>
      <c r="K47" s="212"/>
      <c r="L47" s="193" t="s">
        <v>2439</v>
      </c>
      <c r="M47" s="195" t="s">
        <v>2468</v>
      </c>
      <c r="N47" s="204"/>
      <c r="O47" s="204"/>
      <c r="P47" s="207" t="s">
        <v>5077</v>
      </c>
      <c r="Q47" s="217"/>
      <c r="T47" s="200">
        <f t="shared" si="1"/>
        <v>1905</v>
      </c>
    </row>
    <row r="48" spans="1:20" s="200" customFormat="1">
      <c r="A48" s="200">
        <v>92</v>
      </c>
      <c r="B48" s="193" t="s">
        <v>4255</v>
      </c>
      <c r="C48" s="209">
        <v>2024</v>
      </c>
      <c r="D48" s="209">
        <v>2025</v>
      </c>
      <c r="E48" s="193" t="s">
        <v>2439</v>
      </c>
      <c r="F48" s="193" t="s">
        <v>4256</v>
      </c>
      <c r="G48" s="213"/>
      <c r="H48" s="195" t="s">
        <v>4257</v>
      </c>
      <c r="I48" s="211" t="s">
        <v>2439</v>
      </c>
      <c r="J48" s="193" t="s">
        <v>4258</v>
      </c>
      <c r="K48" s="212"/>
      <c r="L48" s="193" t="s">
        <v>2439</v>
      </c>
      <c r="M48" s="195" t="s">
        <v>4259</v>
      </c>
      <c r="N48" s="204" t="s">
        <v>2469</v>
      </c>
      <c r="O48" s="204"/>
      <c r="P48" s="207" t="s">
        <v>5077</v>
      </c>
      <c r="Q48" s="217"/>
      <c r="T48" s="200">
        <f t="shared" si="1"/>
        <v>1905</v>
      </c>
    </row>
    <row r="49" spans="1:20" s="200" customFormat="1">
      <c r="A49" s="200">
        <v>94</v>
      </c>
      <c r="B49" s="193" t="s">
        <v>2530</v>
      </c>
      <c r="C49" s="209">
        <v>2028</v>
      </c>
      <c r="D49" s="209">
        <v>2030</v>
      </c>
      <c r="E49" s="193" t="s">
        <v>2439</v>
      </c>
      <c r="F49" s="193" t="s">
        <v>1654</v>
      </c>
      <c r="G49" s="213"/>
      <c r="H49" s="195" t="s">
        <v>2531</v>
      </c>
      <c r="I49" s="211" t="s">
        <v>2439</v>
      </c>
      <c r="J49" s="193" t="s">
        <v>5086</v>
      </c>
      <c r="K49" s="212"/>
      <c r="L49" s="193" t="s">
        <v>2439</v>
      </c>
      <c r="M49" s="195" t="s">
        <v>2532</v>
      </c>
      <c r="N49" s="204"/>
      <c r="O49" s="207" t="s">
        <v>56</v>
      </c>
      <c r="P49" s="207" t="s">
        <v>5077</v>
      </c>
      <c r="Q49" s="217" t="s">
        <v>2533</v>
      </c>
      <c r="T49" s="200">
        <f t="shared" si="1"/>
        <v>1905</v>
      </c>
    </row>
    <row r="50" spans="1:20" s="200" customFormat="1">
      <c r="A50" s="200">
        <v>110</v>
      </c>
      <c r="B50" s="193" t="s">
        <v>4741</v>
      </c>
      <c r="C50" s="209">
        <v>2036</v>
      </c>
      <c r="D50" s="209">
        <v>2039</v>
      </c>
      <c r="E50" s="193" t="s">
        <v>2534</v>
      </c>
      <c r="F50" s="193" t="s">
        <v>4742</v>
      </c>
      <c r="G50" s="213"/>
      <c r="H50" s="195" t="s">
        <v>4743</v>
      </c>
      <c r="I50" s="211" t="s">
        <v>2534</v>
      </c>
      <c r="J50" s="193" t="s">
        <v>2535</v>
      </c>
      <c r="K50" s="212"/>
      <c r="L50" s="193" t="s">
        <v>2534</v>
      </c>
      <c r="M50" s="195" t="s">
        <v>2536</v>
      </c>
      <c r="N50" s="204" t="s">
        <v>2537</v>
      </c>
      <c r="O50" s="207" t="s">
        <v>56</v>
      </c>
      <c r="P50" s="207" t="s">
        <v>5077</v>
      </c>
      <c r="Q50" s="217" t="s">
        <v>2538</v>
      </c>
      <c r="T50" s="200">
        <f t="shared" si="1"/>
        <v>1905</v>
      </c>
    </row>
    <row r="51" spans="1:20" s="200" customFormat="1">
      <c r="A51" s="200">
        <v>123</v>
      </c>
      <c r="B51" s="193" t="s">
        <v>4260</v>
      </c>
      <c r="C51" s="209">
        <v>2064</v>
      </c>
      <c r="D51" s="209">
        <v>2064</v>
      </c>
      <c r="E51" s="193" t="s">
        <v>2439</v>
      </c>
      <c r="F51" s="193" t="s">
        <v>4261</v>
      </c>
      <c r="G51" s="213"/>
      <c r="H51" s="195" t="s">
        <v>4246</v>
      </c>
      <c r="I51" s="211"/>
      <c r="J51" s="193"/>
      <c r="K51" s="212"/>
      <c r="L51" s="193" t="s">
        <v>2439</v>
      </c>
      <c r="M51" s="195" t="s">
        <v>4908</v>
      </c>
      <c r="N51" s="204"/>
      <c r="O51" s="207" t="s">
        <v>56</v>
      </c>
      <c r="P51" s="207" t="s">
        <v>5077</v>
      </c>
      <c r="Q51" s="217" t="s">
        <v>2562</v>
      </c>
      <c r="T51" s="200">
        <f t="shared" si="1"/>
        <v>1905</v>
      </c>
    </row>
    <row r="52" spans="1:20" s="200" customFormat="1">
      <c r="A52" s="200">
        <v>124</v>
      </c>
      <c r="B52" s="193" t="s">
        <v>4262</v>
      </c>
      <c r="C52" s="209">
        <v>2064</v>
      </c>
      <c r="D52" s="209">
        <v>2065</v>
      </c>
      <c r="E52" s="193" t="s">
        <v>2439</v>
      </c>
      <c r="F52" s="193" t="s">
        <v>4263</v>
      </c>
      <c r="G52" s="213"/>
      <c r="H52" s="195" t="s">
        <v>4264</v>
      </c>
      <c r="I52" s="211"/>
      <c r="J52" s="193" t="s">
        <v>4265</v>
      </c>
      <c r="K52" s="212" t="s">
        <v>2563</v>
      </c>
      <c r="L52" s="193"/>
      <c r="M52" s="195"/>
      <c r="N52" s="204"/>
      <c r="O52" s="207" t="s">
        <v>56</v>
      </c>
      <c r="P52" s="207" t="s">
        <v>5077</v>
      </c>
      <c r="Q52" s="217" t="s">
        <v>2564</v>
      </c>
      <c r="T52" s="200">
        <f t="shared" si="1"/>
        <v>1905</v>
      </c>
    </row>
    <row r="53" spans="1:20" s="200" customFormat="1">
      <c r="A53" s="200">
        <v>125</v>
      </c>
      <c r="B53" s="193" t="s">
        <v>2565</v>
      </c>
      <c r="C53" s="209">
        <v>2064</v>
      </c>
      <c r="D53" s="209"/>
      <c r="E53" s="193" t="s">
        <v>2439</v>
      </c>
      <c r="F53" s="193" t="s">
        <v>4263</v>
      </c>
      <c r="G53" s="213"/>
      <c r="H53" s="195" t="s">
        <v>4264</v>
      </c>
      <c r="I53" s="211"/>
      <c r="J53" s="193"/>
      <c r="K53" s="212"/>
      <c r="L53" s="193"/>
      <c r="M53" s="195"/>
      <c r="N53" s="204"/>
      <c r="O53" s="207" t="s">
        <v>56</v>
      </c>
      <c r="P53" s="207" t="s">
        <v>5077</v>
      </c>
      <c r="Q53" s="217" t="s">
        <v>2564</v>
      </c>
      <c r="T53" s="200">
        <f t="shared" si="1"/>
        <v>1905</v>
      </c>
    </row>
    <row r="54" spans="1:20" s="200" customFormat="1">
      <c r="A54" s="200">
        <v>124</v>
      </c>
      <c r="B54" s="193" t="s">
        <v>4266</v>
      </c>
      <c r="C54" s="209">
        <v>2063</v>
      </c>
      <c r="D54" s="209">
        <v>2065</v>
      </c>
      <c r="E54" s="193" t="s">
        <v>2439</v>
      </c>
      <c r="F54" s="193" t="s">
        <v>4234</v>
      </c>
      <c r="G54" s="213"/>
      <c r="H54" s="195" t="s">
        <v>4267</v>
      </c>
      <c r="I54" s="211" t="s">
        <v>2566</v>
      </c>
      <c r="J54" s="193" t="s">
        <v>2567</v>
      </c>
      <c r="K54" s="212" t="s">
        <v>2568</v>
      </c>
      <c r="L54" s="193" t="s">
        <v>2569</v>
      </c>
      <c r="M54" s="195" t="s">
        <v>2570</v>
      </c>
      <c r="N54" s="204"/>
      <c r="O54" s="207" t="s">
        <v>2571</v>
      </c>
      <c r="P54" s="207" t="s">
        <v>5077</v>
      </c>
      <c r="Q54" s="217" t="s">
        <v>2564</v>
      </c>
      <c r="T54" s="200">
        <f t="shared" si="1"/>
        <v>1905</v>
      </c>
    </row>
    <row r="55" spans="1:20" s="200" customFormat="1">
      <c r="A55" s="200">
        <v>126</v>
      </c>
      <c r="B55" s="222" t="s">
        <v>4744</v>
      </c>
      <c r="C55" s="223">
        <v>2065</v>
      </c>
      <c r="D55" s="223">
        <v>2067</v>
      </c>
      <c r="E55" s="222" t="s">
        <v>2439</v>
      </c>
      <c r="F55" s="222" t="s">
        <v>4745</v>
      </c>
      <c r="G55" s="224"/>
      <c r="H55" s="225" t="s">
        <v>4746</v>
      </c>
      <c r="I55" s="226" t="s">
        <v>2439</v>
      </c>
      <c r="J55" s="222" t="s">
        <v>3306</v>
      </c>
      <c r="K55" s="227"/>
      <c r="L55" s="222" t="s">
        <v>2572</v>
      </c>
      <c r="M55" s="225" t="s">
        <v>2573</v>
      </c>
      <c r="N55" s="204"/>
      <c r="O55" s="204" t="s">
        <v>56</v>
      </c>
      <c r="P55" s="207" t="s">
        <v>5077</v>
      </c>
      <c r="Q55" s="217" t="s">
        <v>2574</v>
      </c>
      <c r="T55" s="200">
        <f t="shared" si="1"/>
        <v>1905</v>
      </c>
    </row>
    <row r="56" spans="1:20" s="200" customFormat="1">
      <c r="A56" s="200">
        <v>133</v>
      </c>
      <c r="B56" s="193" t="s">
        <v>4747</v>
      </c>
      <c r="C56" s="209">
        <v>2078</v>
      </c>
      <c r="D56" s="209">
        <v>2080</v>
      </c>
      <c r="E56" s="193" t="s">
        <v>2439</v>
      </c>
      <c r="F56" s="193" t="s">
        <v>4748</v>
      </c>
      <c r="G56" s="212"/>
      <c r="H56" s="193" t="s">
        <v>4749</v>
      </c>
      <c r="I56" s="193" t="s">
        <v>2439</v>
      </c>
      <c r="J56" s="193" t="s">
        <v>4868</v>
      </c>
      <c r="K56" s="212"/>
      <c r="L56" s="193" t="s">
        <v>2575</v>
      </c>
      <c r="M56" s="193" t="s">
        <v>2576</v>
      </c>
      <c r="N56" s="193"/>
      <c r="O56" s="204" t="s">
        <v>56</v>
      </c>
      <c r="P56" s="207" t="s">
        <v>5077</v>
      </c>
      <c r="Q56" s="228" t="s">
        <v>2577</v>
      </c>
      <c r="T56" s="200">
        <f t="shared" si="1"/>
        <v>1905</v>
      </c>
    </row>
    <row r="57" spans="1:20" s="200" customFormat="1">
      <c r="A57" s="204">
        <v>144</v>
      </c>
      <c r="B57" s="258" t="s">
        <v>4536</v>
      </c>
      <c r="C57" s="209">
        <v>2096</v>
      </c>
      <c r="D57" s="209">
        <v>2097</v>
      </c>
      <c r="E57" s="193" t="s">
        <v>2439</v>
      </c>
      <c r="F57" s="258" t="s">
        <v>4514</v>
      </c>
      <c r="G57" s="212"/>
      <c r="H57" s="17" t="s">
        <v>4515</v>
      </c>
      <c r="I57" s="193"/>
      <c r="J57" s="193" t="s">
        <v>4537</v>
      </c>
      <c r="K57" s="212"/>
      <c r="L57" s="193" t="s">
        <v>2439</v>
      </c>
      <c r="M57" s="193" t="s">
        <v>4750</v>
      </c>
      <c r="N57" s="193"/>
      <c r="O57" s="207" t="s">
        <v>18</v>
      </c>
      <c r="P57" s="207" t="s">
        <v>5077</v>
      </c>
      <c r="Q57" s="228" t="s">
        <v>2578</v>
      </c>
      <c r="S57" s="204"/>
      <c r="T57" s="200">
        <f t="shared" si="1"/>
        <v>1905</v>
      </c>
    </row>
    <row r="58" spans="1:20" s="200" customFormat="1">
      <c r="A58" s="204">
        <v>150</v>
      </c>
      <c r="B58" s="193" t="s">
        <v>2579</v>
      </c>
      <c r="C58" s="209">
        <v>2109</v>
      </c>
      <c r="D58" s="209">
        <v>2110</v>
      </c>
      <c r="E58" s="193" t="s">
        <v>2439</v>
      </c>
      <c r="F58" s="193" t="s">
        <v>2580</v>
      </c>
      <c r="G58" s="212"/>
      <c r="H58" s="193" t="s">
        <v>2581</v>
      </c>
      <c r="I58" s="193" t="s">
        <v>2439</v>
      </c>
      <c r="J58" s="193" t="s">
        <v>4909</v>
      </c>
      <c r="K58" s="212"/>
      <c r="L58" s="193" t="s">
        <v>2439</v>
      </c>
      <c r="M58" s="193" t="s">
        <v>4268</v>
      </c>
      <c r="N58" s="193" t="s">
        <v>2455</v>
      </c>
      <c r="O58" s="207" t="s">
        <v>56</v>
      </c>
      <c r="P58" s="207" t="s">
        <v>5077</v>
      </c>
      <c r="Q58" s="228" t="s">
        <v>2582</v>
      </c>
      <c r="S58" s="204"/>
      <c r="T58" s="200">
        <f t="shared" si="1"/>
        <v>1905</v>
      </c>
    </row>
    <row r="59" spans="1:20" s="200" customFormat="1">
      <c r="A59" s="204">
        <v>160</v>
      </c>
      <c r="B59" s="193" t="s">
        <v>4910</v>
      </c>
      <c r="C59" s="209">
        <v>2110</v>
      </c>
      <c r="D59" s="209">
        <v>2111</v>
      </c>
      <c r="E59" s="193" t="s">
        <v>2439</v>
      </c>
      <c r="F59" s="193" t="s">
        <v>4911</v>
      </c>
      <c r="G59" s="212"/>
      <c r="H59" s="193" t="s">
        <v>4912</v>
      </c>
      <c r="I59" s="193" t="s">
        <v>2439</v>
      </c>
      <c r="J59" s="193" t="s">
        <v>4728</v>
      </c>
      <c r="K59" s="212"/>
      <c r="L59" s="193" t="s">
        <v>2439</v>
      </c>
      <c r="M59" s="255" t="s">
        <v>3982</v>
      </c>
      <c r="N59" s="193"/>
      <c r="O59" s="229" t="s">
        <v>56</v>
      </c>
      <c r="P59" s="207" t="s">
        <v>5077</v>
      </c>
      <c r="Q59" s="228" t="s">
        <v>2582</v>
      </c>
      <c r="S59" s="204"/>
      <c r="T59" s="200">
        <f t="shared" si="1"/>
        <v>1905</v>
      </c>
    </row>
    <row r="60" spans="1:20" s="200" customFormat="1">
      <c r="A60" s="204">
        <v>155</v>
      </c>
      <c r="B60" s="193" t="s">
        <v>2611</v>
      </c>
      <c r="C60" s="209">
        <v>2115</v>
      </c>
      <c r="D60" s="209">
        <v>2116</v>
      </c>
      <c r="E60" s="193" t="s">
        <v>2432</v>
      </c>
      <c r="F60" s="193" t="s">
        <v>2612</v>
      </c>
      <c r="G60" s="212"/>
      <c r="H60" s="193" t="s">
        <v>2613</v>
      </c>
      <c r="I60" s="193" t="s">
        <v>2439</v>
      </c>
      <c r="J60" s="193" t="s">
        <v>4728</v>
      </c>
      <c r="K60" s="212"/>
      <c r="L60" s="193" t="s">
        <v>2439</v>
      </c>
      <c r="M60" s="193" t="s">
        <v>4269</v>
      </c>
      <c r="N60" s="193"/>
      <c r="O60" s="229" t="s">
        <v>56</v>
      </c>
      <c r="P60" s="207" t="s">
        <v>5077</v>
      </c>
      <c r="Q60" s="228" t="s">
        <v>2614</v>
      </c>
      <c r="S60" s="204"/>
      <c r="T60" s="200">
        <f t="shared" si="1"/>
        <v>1905</v>
      </c>
    </row>
    <row r="61" spans="1:20" s="200" customFormat="1">
      <c r="A61" s="204">
        <v>167</v>
      </c>
      <c r="B61" s="193" t="s">
        <v>5087</v>
      </c>
      <c r="C61" s="209">
        <v>2120</v>
      </c>
      <c r="D61" s="209">
        <v>2121</v>
      </c>
      <c r="E61" s="193" t="s">
        <v>2439</v>
      </c>
      <c r="F61" s="193" t="s">
        <v>5088</v>
      </c>
      <c r="G61" s="212"/>
      <c r="H61" s="193" t="s">
        <v>5089</v>
      </c>
      <c r="I61" s="193" t="s">
        <v>2439</v>
      </c>
      <c r="J61" s="193" t="s">
        <v>4249</v>
      </c>
      <c r="K61" s="212"/>
      <c r="L61" s="193"/>
      <c r="M61" s="193" t="s">
        <v>2615</v>
      </c>
      <c r="N61" s="193"/>
      <c r="O61" s="207" t="s">
        <v>56</v>
      </c>
      <c r="P61" s="207" t="s">
        <v>5077</v>
      </c>
      <c r="Q61" s="228" t="s">
        <v>2616</v>
      </c>
      <c r="S61" s="204"/>
      <c r="T61" s="200">
        <f t="shared" si="1"/>
        <v>1905</v>
      </c>
    </row>
    <row r="62" spans="1:20" s="200" customFormat="1">
      <c r="A62" s="204">
        <v>168</v>
      </c>
      <c r="B62" s="193" t="s">
        <v>2618</v>
      </c>
      <c r="C62" s="209">
        <v>2120</v>
      </c>
      <c r="D62" s="209">
        <v>2121</v>
      </c>
      <c r="E62" s="193" t="s">
        <v>2432</v>
      </c>
      <c r="F62" s="193" t="s">
        <v>2617</v>
      </c>
      <c r="G62" s="212"/>
      <c r="H62" s="193" t="s">
        <v>2619</v>
      </c>
      <c r="I62" s="193" t="s">
        <v>2439</v>
      </c>
      <c r="J62" s="193" t="s">
        <v>4751</v>
      </c>
      <c r="K62" s="212"/>
      <c r="L62" s="193" t="s">
        <v>2432</v>
      </c>
      <c r="M62" s="193" t="s">
        <v>2620</v>
      </c>
      <c r="N62" s="193"/>
      <c r="O62" s="207" t="s">
        <v>56</v>
      </c>
      <c r="P62" s="207" t="s">
        <v>5077</v>
      </c>
      <c r="Q62" s="228" t="s">
        <v>2616</v>
      </c>
      <c r="S62" s="204"/>
      <c r="T62" s="200">
        <f t="shared" si="1"/>
        <v>1905</v>
      </c>
    </row>
    <row r="63" spans="1:20" s="200" customFormat="1">
      <c r="A63" s="204">
        <v>164</v>
      </c>
      <c r="B63" s="193" t="s">
        <v>4538</v>
      </c>
      <c r="C63" s="209">
        <v>2130</v>
      </c>
      <c r="D63" s="209">
        <v>2131</v>
      </c>
      <c r="E63" s="193" t="s">
        <v>2439</v>
      </c>
      <c r="F63" s="193" t="s">
        <v>4539</v>
      </c>
      <c r="G63" s="212"/>
      <c r="H63" s="193" t="s">
        <v>4540</v>
      </c>
      <c r="I63" s="193" t="s">
        <v>2439</v>
      </c>
      <c r="J63" s="193" t="s">
        <v>4270</v>
      </c>
      <c r="K63" s="212"/>
      <c r="L63" s="193" t="s">
        <v>2439</v>
      </c>
      <c r="M63" s="193" t="s">
        <v>2621</v>
      </c>
      <c r="N63" s="193"/>
      <c r="O63" s="207" t="s">
        <v>56</v>
      </c>
      <c r="P63" s="207" t="s">
        <v>5077</v>
      </c>
      <c r="Q63" s="228" t="s">
        <v>2622</v>
      </c>
      <c r="S63" s="204"/>
      <c r="T63" s="200">
        <f t="shared" si="1"/>
        <v>1905</v>
      </c>
    </row>
    <row r="64" spans="1:20" s="200" customFormat="1">
      <c r="A64" s="204">
        <v>184</v>
      </c>
      <c r="B64" s="193" t="s">
        <v>4271</v>
      </c>
      <c r="C64" s="209">
        <v>2137</v>
      </c>
      <c r="D64" s="209">
        <v>2137</v>
      </c>
      <c r="E64" s="193" t="s">
        <v>2439</v>
      </c>
      <c r="F64" s="193" t="s">
        <v>4272</v>
      </c>
      <c r="G64" s="212"/>
      <c r="H64" s="193" t="s">
        <v>4273</v>
      </c>
      <c r="I64" s="193" t="s">
        <v>2439</v>
      </c>
      <c r="J64" s="193" t="s">
        <v>4913</v>
      </c>
      <c r="K64" s="212"/>
      <c r="L64" s="193" t="s">
        <v>2439</v>
      </c>
      <c r="M64" s="193" t="s">
        <v>4869</v>
      </c>
      <c r="N64" s="193" t="s">
        <v>2537</v>
      </c>
      <c r="O64" s="207" t="s">
        <v>56</v>
      </c>
      <c r="P64" s="207" t="s">
        <v>5077</v>
      </c>
      <c r="Q64" s="228" t="s">
        <v>2623</v>
      </c>
      <c r="S64" s="204"/>
      <c r="T64" s="200">
        <f t="shared" si="1"/>
        <v>1905</v>
      </c>
    </row>
    <row r="65" spans="1:20" s="200" customFormat="1">
      <c r="A65" s="204">
        <v>192</v>
      </c>
      <c r="B65" s="193" t="s">
        <v>4541</v>
      </c>
      <c r="C65" s="209">
        <v>2150</v>
      </c>
      <c r="D65" s="209">
        <v>2152</v>
      </c>
      <c r="E65" s="193" t="s">
        <v>2439</v>
      </c>
      <c r="F65" s="193" t="s">
        <v>4542</v>
      </c>
      <c r="G65" s="212"/>
      <c r="H65" s="193" t="s">
        <v>4543</v>
      </c>
      <c r="I65" s="193" t="s">
        <v>2439</v>
      </c>
      <c r="J65" s="193" t="s">
        <v>4544</v>
      </c>
      <c r="K65" s="212" t="s">
        <v>2449</v>
      </c>
      <c r="L65" s="193" t="s">
        <v>2439</v>
      </c>
      <c r="M65" s="193" t="s">
        <v>2624</v>
      </c>
      <c r="N65" s="193" t="s">
        <v>51</v>
      </c>
      <c r="O65" s="207" t="s">
        <v>56</v>
      </c>
      <c r="P65" s="207" t="s">
        <v>5077</v>
      </c>
      <c r="Q65" s="228" t="s">
        <v>2625</v>
      </c>
      <c r="S65" s="204"/>
      <c r="T65" s="200">
        <f t="shared" si="1"/>
        <v>1905</v>
      </c>
    </row>
    <row r="66" spans="1:20" s="200" customFormat="1">
      <c r="A66" s="204">
        <v>175</v>
      </c>
      <c r="B66" s="193" t="s">
        <v>4274</v>
      </c>
      <c r="C66" s="209">
        <v>2151</v>
      </c>
      <c r="D66" s="209">
        <v>2152</v>
      </c>
      <c r="E66" s="193" t="s">
        <v>2439</v>
      </c>
      <c r="F66" s="193" t="s">
        <v>4275</v>
      </c>
      <c r="G66" s="212"/>
      <c r="H66" s="193" t="s">
        <v>4276</v>
      </c>
      <c r="I66" s="193" t="s">
        <v>2439</v>
      </c>
      <c r="J66" s="193" t="s">
        <v>2626</v>
      </c>
      <c r="K66" s="212"/>
      <c r="L66" s="193" t="s">
        <v>2439</v>
      </c>
      <c r="M66" s="193" t="s">
        <v>4914</v>
      </c>
      <c r="N66" s="193"/>
      <c r="O66" s="207" t="s">
        <v>56</v>
      </c>
      <c r="P66" s="207" t="s">
        <v>5077</v>
      </c>
      <c r="Q66" s="228" t="s">
        <v>2627</v>
      </c>
      <c r="S66" s="204"/>
      <c r="T66" s="200">
        <f t="shared" ref="T66:T90" si="2">IF(ISTEXT(C66),VALUE(RIGHT(C66,4)),YEAR(C66))</f>
        <v>1905</v>
      </c>
    </row>
    <row r="67" spans="1:20" s="200" customFormat="1">
      <c r="A67" s="204">
        <v>189</v>
      </c>
      <c r="B67" s="193" t="s">
        <v>4277</v>
      </c>
      <c r="C67" s="209">
        <v>2167</v>
      </c>
      <c r="D67" s="209">
        <v>2168</v>
      </c>
      <c r="E67" s="193" t="s">
        <v>2439</v>
      </c>
      <c r="F67" s="193" t="s">
        <v>4278</v>
      </c>
      <c r="G67" s="212"/>
      <c r="H67" s="193" t="s">
        <v>4279</v>
      </c>
      <c r="I67" s="193"/>
      <c r="J67" s="193"/>
      <c r="K67" s="212"/>
      <c r="L67" s="193" t="s">
        <v>2439</v>
      </c>
      <c r="M67" s="193" t="s">
        <v>2072</v>
      </c>
      <c r="N67" s="193"/>
      <c r="O67" s="229" t="s">
        <v>56</v>
      </c>
      <c r="P67" s="207" t="s">
        <v>5077</v>
      </c>
      <c r="Q67" s="228" t="s">
        <v>2628</v>
      </c>
      <c r="S67" s="204"/>
      <c r="T67" s="200">
        <f t="shared" si="2"/>
        <v>1905</v>
      </c>
    </row>
    <row r="68" spans="1:20" s="200" customFormat="1">
      <c r="A68" s="204">
        <v>218</v>
      </c>
      <c r="B68" s="193" t="s">
        <v>4752</v>
      </c>
      <c r="C68" s="209">
        <v>2183</v>
      </c>
      <c r="D68" s="209">
        <v>2183</v>
      </c>
      <c r="E68" s="193" t="s">
        <v>2439</v>
      </c>
      <c r="F68" s="193" t="s">
        <v>4719</v>
      </c>
      <c r="G68" s="212"/>
      <c r="H68" s="193" t="s">
        <v>4753</v>
      </c>
      <c r="I68" s="193" t="s">
        <v>2439</v>
      </c>
      <c r="J68" s="193" t="s">
        <v>4720</v>
      </c>
      <c r="K68" s="212"/>
      <c r="L68" s="193" t="s">
        <v>2442</v>
      </c>
      <c r="M68" s="193" t="s">
        <v>2629</v>
      </c>
      <c r="N68" s="193"/>
      <c r="O68" s="229" t="s">
        <v>56</v>
      </c>
      <c r="P68" s="207" t="s">
        <v>5077</v>
      </c>
      <c r="Q68" s="228" t="s">
        <v>2630</v>
      </c>
      <c r="S68" s="204"/>
      <c r="T68" s="200">
        <f t="shared" si="2"/>
        <v>1905</v>
      </c>
    </row>
    <row r="69" spans="1:20" s="200" customFormat="1">
      <c r="A69" s="204">
        <v>9</v>
      </c>
      <c r="B69" s="222" t="s">
        <v>2701</v>
      </c>
      <c r="C69" s="223">
        <v>1843</v>
      </c>
      <c r="D69" s="223">
        <v>1844</v>
      </c>
      <c r="E69" s="222" t="s">
        <v>2702</v>
      </c>
      <c r="F69" s="222" t="s">
        <v>2328</v>
      </c>
      <c r="G69" s="227"/>
      <c r="H69" s="222" t="s">
        <v>2703</v>
      </c>
      <c r="I69" s="222"/>
      <c r="J69" s="222" t="s">
        <v>2704</v>
      </c>
      <c r="K69" s="227" t="s">
        <v>2705</v>
      </c>
      <c r="L69" s="222" t="s">
        <v>2439</v>
      </c>
      <c r="M69" s="222" t="s">
        <v>4280</v>
      </c>
      <c r="N69" s="222"/>
      <c r="O69" s="230" t="s">
        <v>56</v>
      </c>
      <c r="P69" s="207" t="s">
        <v>5077</v>
      </c>
      <c r="Q69" s="228"/>
      <c r="S69" s="204"/>
      <c r="T69" s="200">
        <f t="shared" si="2"/>
        <v>1905</v>
      </c>
    </row>
    <row r="70" spans="1:20" s="200" customFormat="1">
      <c r="B70" s="222" t="s">
        <v>4545</v>
      </c>
      <c r="C70" s="223">
        <v>5515</v>
      </c>
      <c r="D70" s="223">
        <v>5516</v>
      </c>
      <c r="E70" s="222" t="s">
        <v>2439</v>
      </c>
      <c r="F70" s="222" t="s">
        <v>4546</v>
      </c>
      <c r="G70" s="227"/>
      <c r="H70" s="222" t="s">
        <v>4547</v>
      </c>
      <c r="I70" s="222" t="s">
        <v>22</v>
      </c>
      <c r="J70" s="222" t="s">
        <v>22</v>
      </c>
      <c r="K70" s="227"/>
      <c r="L70" s="222" t="s">
        <v>2439</v>
      </c>
      <c r="M70" s="222" t="s">
        <v>4548</v>
      </c>
      <c r="N70" s="222"/>
      <c r="O70" s="230" t="s">
        <v>25</v>
      </c>
      <c r="P70" s="207" t="s">
        <v>4701</v>
      </c>
      <c r="Q70" s="231" t="s">
        <v>24</v>
      </c>
      <c r="T70" s="200">
        <f t="shared" si="2"/>
        <v>1915</v>
      </c>
    </row>
    <row r="71" spans="1:20" s="200" customFormat="1">
      <c r="B71" s="222" t="s">
        <v>4549</v>
      </c>
      <c r="C71" s="223">
        <v>5516</v>
      </c>
      <c r="D71" s="223">
        <v>5518</v>
      </c>
      <c r="E71" s="222" t="s">
        <v>2439</v>
      </c>
      <c r="F71" s="222" t="s">
        <v>4550</v>
      </c>
      <c r="G71" s="227"/>
      <c r="H71" s="222" t="s">
        <v>4551</v>
      </c>
      <c r="I71" s="222" t="s">
        <v>22</v>
      </c>
      <c r="J71" s="222" t="s">
        <v>22</v>
      </c>
      <c r="K71" s="227"/>
      <c r="L71" s="222" t="s">
        <v>2439</v>
      </c>
      <c r="M71" s="222" t="s">
        <v>4552</v>
      </c>
      <c r="N71" s="222"/>
      <c r="O71" s="230" t="s">
        <v>25</v>
      </c>
      <c r="P71" s="207" t="s">
        <v>4701</v>
      </c>
      <c r="Q71" s="231" t="s">
        <v>24</v>
      </c>
      <c r="T71" s="200">
        <f t="shared" si="2"/>
        <v>1915</v>
      </c>
    </row>
    <row r="72" spans="1:20" s="200" customFormat="1">
      <c r="B72" s="222" t="s">
        <v>4553</v>
      </c>
      <c r="C72" s="223">
        <v>5543</v>
      </c>
      <c r="D72" s="223">
        <v>5544</v>
      </c>
      <c r="E72" s="222" t="s">
        <v>2431</v>
      </c>
      <c r="F72" s="222" t="s">
        <v>4520</v>
      </c>
      <c r="G72" s="227"/>
      <c r="H72" s="222" t="s">
        <v>4554</v>
      </c>
      <c r="I72" s="230" t="s">
        <v>22</v>
      </c>
      <c r="J72" s="222" t="s">
        <v>22</v>
      </c>
      <c r="K72" s="227"/>
      <c r="L72" s="222" t="s">
        <v>2431</v>
      </c>
      <c r="M72" s="222" t="s">
        <v>4555</v>
      </c>
      <c r="N72" s="222"/>
      <c r="O72" s="230" t="s">
        <v>25</v>
      </c>
      <c r="P72" s="207" t="s">
        <v>4701</v>
      </c>
      <c r="Q72" s="231" t="s">
        <v>26</v>
      </c>
      <c r="T72" s="200">
        <f t="shared" si="2"/>
        <v>1915</v>
      </c>
    </row>
    <row r="73" spans="1:20" s="200" customFormat="1">
      <c r="B73" s="222" t="s">
        <v>4281</v>
      </c>
      <c r="C73" s="223">
        <v>5544</v>
      </c>
      <c r="D73" s="223">
        <v>5546</v>
      </c>
      <c r="E73" s="222" t="s">
        <v>2439</v>
      </c>
      <c r="F73" s="222" t="s">
        <v>4282</v>
      </c>
      <c r="G73" s="227"/>
      <c r="H73" s="222" t="s">
        <v>4283</v>
      </c>
      <c r="I73" s="222" t="s">
        <v>2439</v>
      </c>
      <c r="J73" s="222" t="s">
        <v>2683</v>
      </c>
      <c r="K73" s="227"/>
      <c r="L73" s="222" t="s">
        <v>2439</v>
      </c>
      <c r="M73" s="222" t="s">
        <v>28</v>
      </c>
      <c r="N73" s="222"/>
      <c r="O73" s="230" t="s">
        <v>25</v>
      </c>
      <c r="P73" s="207" t="s">
        <v>4701</v>
      </c>
      <c r="Q73" s="231" t="s">
        <v>27</v>
      </c>
      <c r="T73" s="200">
        <f t="shared" si="2"/>
        <v>1915</v>
      </c>
    </row>
    <row r="74" spans="1:20" s="200" customFormat="1">
      <c r="B74" s="222" t="s">
        <v>4284</v>
      </c>
      <c r="C74" s="223">
        <v>5560</v>
      </c>
      <c r="D74" s="223">
        <v>5561</v>
      </c>
      <c r="E74" s="222" t="s">
        <v>2439</v>
      </c>
      <c r="F74" s="222" t="s">
        <v>4278</v>
      </c>
      <c r="G74" s="227"/>
      <c r="H74" s="222" t="s">
        <v>4279</v>
      </c>
      <c r="I74" s="222" t="s">
        <v>2439</v>
      </c>
      <c r="J74" s="222" t="s">
        <v>4285</v>
      </c>
      <c r="K74" s="227"/>
      <c r="L74" s="222" t="s">
        <v>2439</v>
      </c>
      <c r="M74" s="222" t="s">
        <v>29</v>
      </c>
      <c r="N74" s="222"/>
      <c r="O74" s="230" t="s">
        <v>25</v>
      </c>
      <c r="P74" s="207" t="s">
        <v>4701</v>
      </c>
      <c r="Q74" s="231" t="s">
        <v>30</v>
      </c>
      <c r="T74" s="200">
        <f t="shared" si="2"/>
        <v>1915</v>
      </c>
    </row>
    <row r="75" spans="1:20" s="200" customFormat="1">
      <c r="B75" s="222" t="s">
        <v>2540</v>
      </c>
      <c r="C75" s="223">
        <v>5580</v>
      </c>
      <c r="D75" s="223">
        <v>5581</v>
      </c>
      <c r="E75" s="222"/>
      <c r="F75" s="222"/>
      <c r="G75" s="227"/>
      <c r="H75" s="222"/>
      <c r="I75" s="222" t="s">
        <v>2439</v>
      </c>
      <c r="J75" s="222" t="s">
        <v>4286</v>
      </c>
      <c r="K75" s="227"/>
      <c r="L75" s="222"/>
      <c r="M75" s="222"/>
      <c r="N75" s="222"/>
      <c r="O75" s="230" t="s">
        <v>25</v>
      </c>
      <c r="P75" s="207" t="s">
        <v>4701</v>
      </c>
      <c r="Q75" s="231" t="s">
        <v>31</v>
      </c>
      <c r="T75" s="200">
        <f t="shared" si="2"/>
        <v>1915</v>
      </c>
    </row>
    <row r="76" spans="1:20" s="200" customFormat="1">
      <c r="B76" s="222" t="s">
        <v>4287</v>
      </c>
      <c r="C76" s="223">
        <v>5584</v>
      </c>
      <c r="D76" s="223">
        <v>5585</v>
      </c>
      <c r="E76" s="222" t="s">
        <v>2439</v>
      </c>
      <c r="F76" s="222" t="s">
        <v>4288</v>
      </c>
      <c r="G76" s="227"/>
      <c r="H76" s="222" t="s">
        <v>4289</v>
      </c>
      <c r="I76" s="222" t="s">
        <v>2439</v>
      </c>
      <c r="J76" s="222" t="s">
        <v>5090</v>
      </c>
      <c r="K76" s="227"/>
      <c r="L76" s="222" t="s">
        <v>2439</v>
      </c>
      <c r="M76" s="222" t="s">
        <v>32</v>
      </c>
      <c r="N76" s="222"/>
      <c r="O76" s="230" t="s">
        <v>25</v>
      </c>
      <c r="P76" s="207" t="s">
        <v>4701</v>
      </c>
      <c r="Q76" s="231" t="s">
        <v>33</v>
      </c>
      <c r="T76" s="200">
        <f t="shared" si="2"/>
        <v>1915</v>
      </c>
    </row>
    <row r="77" spans="1:20" s="200" customFormat="1">
      <c r="B77" s="222" t="s">
        <v>4290</v>
      </c>
      <c r="C77" s="223">
        <v>5585</v>
      </c>
      <c r="D77" s="223">
        <v>5586</v>
      </c>
      <c r="E77" s="222" t="s">
        <v>2439</v>
      </c>
      <c r="F77" s="222" t="s">
        <v>4249</v>
      </c>
      <c r="G77" s="227"/>
      <c r="H77" s="222" t="s">
        <v>4251</v>
      </c>
      <c r="I77" s="222" t="s">
        <v>2439</v>
      </c>
      <c r="J77" s="222" t="s">
        <v>175</v>
      </c>
      <c r="K77" s="227"/>
      <c r="L77" s="222" t="s">
        <v>2439</v>
      </c>
      <c r="M77" s="222" t="s">
        <v>4291</v>
      </c>
      <c r="N77" s="222"/>
      <c r="O77" s="230" t="s">
        <v>25</v>
      </c>
      <c r="P77" s="207" t="s">
        <v>4701</v>
      </c>
      <c r="Q77" s="231" t="s">
        <v>33</v>
      </c>
      <c r="T77" s="200">
        <f t="shared" si="2"/>
        <v>1915</v>
      </c>
    </row>
    <row r="78" spans="1:20" s="200" customFormat="1">
      <c r="B78" s="222" t="s">
        <v>4754</v>
      </c>
      <c r="C78" s="223">
        <v>5599</v>
      </c>
      <c r="D78" s="223">
        <v>5602</v>
      </c>
      <c r="E78" s="222" t="s">
        <v>2439</v>
      </c>
      <c r="F78" s="222" t="s">
        <v>4755</v>
      </c>
      <c r="G78" s="227"/>
      <c r="H78" s="222" t="s">
        <v>4756</v>
      </c>
      <c r="I78" s="222"/>
      <c r="J78" s="222"/>
      <c r="K78" s="227"/>
      <c r="L78" s="222" t="s">
        <v>2439</v>
      </c>
      <c r="M78" s="222" t="s">
        <v>4757</v>
      </c>
      <c r="N78" s="222"/>
      <c r="O78" s="230" t="s">
        <v>25</v>
      </c>
      <c r="P78" s="207" t="s">
        <v>4701</v>
      </c>
      <c r="Q78" s="231" t="s">
        <v>34</v>
      </c>
      <c r="T78" s="200">
        <f t="shared" si="2"/>
        <v>1915</v>
      </c>
    </row>
    <row r="79" spans="1:20" s="200" customFormat="1">
      <c r="B79" s="222" t="s">
        <v>4292</v>
      </c>
      <c r="C79" s="223">
        <v>5601</v>
      </c>
      <c r="D79" s="223">
        <v>5602</v>
      </c>
      <c r="E79" s="222" t="s">
        <v>2439</v>
      </c>
      <c r="F79" s="222" t="s">
        <v>4293</v>
      </c>
      <c r="G79" s="227"/>
      <c r="H79" s="222" t="s">
        <v>4294</v>
      </c>
      <c r="I79" s="222" t="s">
        <v>2439</v>
      </c>
      <c r="J79" s="222" t="s">
        <v>4295</v>
      </c>
      <c r="K79" s="227"/>
      <c r="L79" s="222" t="s">
        <v>2439</v>
      </c>
      <c r="M79" s="222" t="s">
        <v>35</v>
      </c>
      <c r="N79" s="222"/>
      <c r="O79" s="230" t="s">
        <v>36</v>
      </c>
      <c r="P79" s="207" t="s">
        <v>4701</v>
      </c>
      <c r="Q79" s="231" t="s">
        <v>34</v>
      </c>
      <c r="T79" s="200">
        <f t="shared" si="2"/>
        <v>1915</v>
      </c>
    </row>
    <row r="80" spans="1:20" s="200" customFormat="1">
      <c r="B80" s="222" t="s">
        <v>37</v>
      </c>
      <c r="C80" s="223">
        <v>5605</v>
      </c>
      <c r="D80" s="223">
        <v>5607</v>
      </c>
      <c r="E80" s="222" t="s">
        <v>2439</v>
      </c>
      <c r="F80" s="222" t="s">
        <v>38</v>
      </c>
      <c r="G80" s="227"/>
      <c r="H80" s="222" t="s">
        <v>2678</v>
      </c>
      <c r="I80" s="222" t="s">
        <v>2439</v>
      </c>
      <c r="J80" s="222" t="s">
        <v>4296</v>
      </c>
      <c r="K80" s="227"/>
      <c r="L80" s="222" t="s">
        <v>2439</v>
      </c>
      <c r="M80" s="222"/>
      <c r="N80" s="222"/>
      <c r="O80" s="230" t="s">
        <v>25</v>
      </c>
      <c r="P80" s="207" t="s">
        <v>4701</v>
      </c>
      <c r="Q80" s="231" t="s">
        <v>39</v>
      </c>
      <c r="T80" s="200">
        <f t="shared" si="2"/>
        <v>1915</v>
      </c>
    </row>
    <row r="81" spans="1:20" s="200" customFormat="1">
      <c r="B81" s="222" t="s">
        <v>4556</v>
      </c>
      <c r="C81" s="223">
        <v>5610</v>
      </c>
      <c r="D81" s="223">
        <v>5612</v>
      </c>
      <c r="E81" s="222" t="s">
        <v>2439</v>
      </c>
      <c r="F81" s="222" t="s">
        <v>4557</v>
      </c>
      <c r="G81" s="227"/>
      <c r="H81" s="222" t="s">
        <v>4558</v>
      </c>
      <c r="I81" s="222" t="s">
        <v>2439</v>
      </c>
      <c r="J81" s="222" t="s">
        <v>4559</v>
      </c>
      <c r="K81" s="227"/>
      <c r="L81" s="222" t="s">
        <v>2439</v>
      </c>
      <c r="M81" s="222" t="s">
        <v>5091</v>
      </c>
      <c r="N81" s="222"/>
      <c r="O81" s="230" t="s">
        <v>25</v>
      </c>
      <c r="P81" s="207" t="s">
        <v>4701</v>
      </c>
      <c r="Q81" s="231" t="s">
        <v>39</v>
      </c>
      <c r="T81" s="200">
        <f t="shared" si="2"/>
        <v>1915</v>
      </c>
    </row>
    <row r="82" spans="1:20" s="200" customFormat="1">
      <c r="B82" s="222" t="s">
        <v>4297</v>
      </c>
      <c r="C82" s="223">
        <v>7157</v>
      </c>
      <c r="D82" s="223">
        <v>7161</v>
      </c>
      <c r="E82" s="222" t="s">
        <v>2439</v>
      </c>
      <c r="F82" s="222" t="s">
        <v>4298</v>
      </c>
      <c r="G82" s="227"/>
      <c r="H82" s="222" t="s">
        <v>4277</v>
      </c>
      <c r="I82" s="222" t="s">
        <v>2439</v>
      </c>
      <c r="J82" s="222" t="s">
        <v>3308</v>
      </c>
      <c r="K82" s="227"/>
      <c r="L82" s="222" t="s">
        <v>2439</v>
      </c>
      <c r="M82" s="222" t="s">
        <v>4299</v>
      </c>
      <c r="N82" s="222"/>
      <c r="O82" s="230" t="s">
        <v>56</v>
      </c>
      <c r="P82" s="207" t="s">
        <v>4701</v>
      </c>
      <c r="Q82" s="231" t="s">
        <v>55</v>
      </c>
      <c r="R82" s="222"/>
      <c r="T82" s="200">
        <f t="shared" si="2"/>
        <v>1919</v>
      </c>
    </row>
    <row r="83" spans="1:20" s="200" customFormat="1">
      <c r="A83" s="204" t="s">
        <v>3316</v>
      </c>
      <c r="B83" s="222" t="s">
        <v>3317</v>
      </c>
      <c r="C83" s="223">
        <v>3482</v>
      </c>
      <c r="D83" s="223"/>
      <c r="E83" s="222" t="s">
        <v>2439</v>
      </c>
      <c r="F83" s="222" t="s">
        <v>3318</v>
      </c>
      <c r="G83" s="227"/>
      <c r="H83" s="222" t="s">
        <v>3319</v>
      </c>
      <c r="I83" s="222"/>
      <c r="J83" s="222"/>
      <c r="K83" s="227"/>
      <c r="L83" s="222"/>
      <c r="M83" s="222"/>
      <c r="N83" s="222"/>
      <c r="O83" s="230" t="s">
        <v>56</v>
      </c>
      <c r="P83" s="207" t="s">
        <v>4701</v>
      </c>
      <c r="Q83" s="231"/>
      <c r="R83" s="222"/>
      <c r="S83" s="204"/>
      <c r="T83" s="218">
        <f t="shared" si="2"/>
        <v>1909</v>
      </c>
    </row>
    <row r="84" spans="1:20" s="200" customFormat="1">
      <c r="A84" s="204">
        <v>11</v>
      </c>
      <c r="B84" s="222" t="s">
        <v>3322</v>
      </c>
      <c r="C84" s="223" t="s">
        <v>3320</v>
      </c>
      <c r="D84" s="223" t="s">
        <v>3321</v>
      </c>
      <c r="E84" s="222" t="s">
        <v>2431</v>
      </c>
      <c r="F84" s="222" t="s">
        <v>3323</v>
      </c>
      <c r="G84" s="227"/>
      <c r="H84" s="222" t="s">
        <v>3324</v>
      </c>
      <c r="I84" s="222" t="s">
        <v>2439</v>
      </c>
      <c r="J84" s="222" t="s">
        <v>4510</v>
      </c>
      <c r="K84" s="227"/>
      <c r="L84" s="222"/>
      <c r="M84" s="222" t="s">
        <v>3325</v>
      </c>
      <c r="N84" s="222" t="s">
        <v>3326</v>
      </c>
      <c r="O84" s="230" t="s">
        <v>56</v>
      </c>
      <c r="P84" s="207" t="s">
        <v>4867</v>
      </c>
      <c r="Q84" s="231" t="s">
        <v>3327</v>
      </c>
      <c r="R84" s="222"/>
      <c r="S84" s="204"/>
      <c r="T84" s="218">
        <f t="shared" si="2"/>
        <v>1879</v>
      </c>
    </row>
    <row r="85" spans="1:20" s="200" customFormat="1">
      <c r="A85" s="204">
        <v>20</v>
      </c>
      <c r="B85" s="222" t="s">
        <v>4758</v>
      </c>
      <c r="C85" s="223" t="s">
        <v>3332</v>
      </c>
      <c r="D85" s="223" t="s">
        <v>3328</v>
      </c>
      <c r="E85" s="222" t="s">
        <v>2439</v>
      </c>
      <c r="F85" s="222" t="s">
        <v>4759</v>
      </c>
      <c r="G85" s="227"/>
      <c r="H85" s="222" t="s">
        <v>4759</v>
      </c>
      <c r="I85" s="222" t="s">
        <v>51</v>
      </c>
      <c r="J85" s="222" t="s">
        <v>3329</v>
      </c>
      <c r="K85" s="227"/>
      <c r="L85" s="222"/>
      <c r="M85" s="222" t="s">
        <v>4760</v>
      </c>
      <c r="N85" s="222" t="s">
        <v>4761</v>
      </c>
      <c r="O85" s="230" t="s">
        <v>56</v>
      </c>
      <c r="P85" s="207" t="s">
        <v>4867</v>
      </c>
      <c r="Q85" s="231" t="s">
        <v>3330</v>
      </c>
      <c r="R85" s="222"/>
      <c r="S85" s="204"/>
      <c r="T85" s="218">
        <f t="shared" si="2"/>
        <v>1879</v>
      </c>
    </row>
    <row r="86" spans="1:20" s="200" customFormat="1">
      <c r="A86" s="204">
        <v>17</v>
      </c>
      <c r="B86" s="222" t="s">
        <v>4300</v>
      </c>
      <c r="C86" s="223" t="s">
        <v>3333</v>
      </c>
      <c r="D86" s="223" t="s">
        <v>3334</v>
      </c>
      <c r="E86" s="222" t="s">
        <v>2439</v>
      </c>
      <c r="F86" s="222" t="s">
        <v>4301</v>
      </c>
      <c r="G86" s="227"/>
      <c r="H86" s="222" t="s">
        <v>4302</v>
      </c>
      <c r="I86" s="222"/>
      <c r="J86" s="222"/>
      <c r="K86" s="227"/>
      <c r="L86" s="222" t="s">
        <v>3335</v>
      </c>
      <c r="M86" s="222" t="s">
        <v>4915</v>
      </c>
      <c r="N86" s="222" t="s">
        <v>4916</v>
      </c>
      <c r="O86" s="230" t="s">
        <v>56</v>
      </c>
      <c r="P86" s="207" t="s">
        <v>4867</v>
      </c>
      <c r="Q86" s="231" t="s">
        <v>3336</v>
      </c>
      <c r="R86" s="222"/>
      <c r="S86" s="204"/>
      <c r="T86" s="218">
        <f t="shared" si="2"/>
        <v>1879</v>
      </c>
    </row>
    <row r="87" spans="1:20" s="200" customFormat="1">
      <c r="A87" s="204">
        <v>33</v>
      </c>
      <c r="B87" s="222" t="s">
        <v>4762</v>
      </c>
      <c r="C87" s="223" t="s">
        <v>3337</v>
      </c>
      <c r="D87" s="223" t="s">
        <v>3338</v>
      </c>
      <c r="E87" s="222" t="s">
        <v>2439</v>
      </c>
      <c r="F87" s="222" t="s">
        <v>4763</v>
      </c>
      <c r="G87" s="227"/>
      <c r="H87" s="222" t="s">
        <v>4764</v>
      </c>
      <c r="I87" s="222" t="s">
        <v>3339</v>
      </c>
      <c r="J87" s="222" t="s">
        <v>4917</v>
      </c>
      <c r="K87" s="227"/>
      <c r="L87" s="222"/>
      <c r="M87" s="222" t="s">
        <v>3340</v>
      </c>
      <c r="N87" s="222" t="s">
        <v>3341</v>
      </c>
      <c r="O87" s="230" t="s">
        <v>56</v>
      </c>
      <c r="P87" s="207" t="s">
        <v>4867</v>
      </c>
      <c r="Q87" s="231" t="s">
        <v>3342</v>
      </c>
      <c r="R87" s="222"/>
      <c r="S87" s="204"/>
      <c r="T87" s="218">
        <f t="shared" si="2"/>
        <v>1879</v>
      </c>
    </row>
    <row r="88" spans="1:20" s="200" customFormat="1">
      <c r="A88" s="204">
        <v>47</v>
      </c>
      <c r="B88" s="222" t="s">
        <v>4303</v>
      </c>
      <c r="C88" s="223" t="s">
        <v>3337</v>
      </c>
      <c r="D88" s="223" t="s">
        <v>3338</v>
      </c>
      <c r="E88" s="222" t="s">
        <v>2439</v>
      </c>
      <c r="F88" s="222" t="s">
        <v>4304</v>
      </c>
      <c r="G88" s="227"/>
      <c r="H88" s="222" t="s">
        <v>4305</v>
      </c>
      <c r="I88" s="222" t="s">
        <v>3343</v>
      </c>
      <c r="J88" s="222" t="s">
        <v>4278</v>
      </c>
      <c r="K88" s="227"/>
      <c r="L88" s="222"/>
      <c r="M88" s="222" t="s">
        <v>4255</v>
      </c>
      <c r="N88" s="222" t="s">
        <v>3344</v>
      </c>
      <c r="O88" s="230" t="s">
        <v>56</v>
      </c>
      <c r="P88" s="207" t="s">
        <v>4867</v>
      </c>
      <c r="Q88" s="231" t="s">
        <v>3342</v>
      </c>
      <c r="R88" s="222"/>
      <c r="S88" s="204"/>
      <c r="T88" s="218">
        <f t="shared" si="2"/>
        <v>1879</v>
      </c>
    </row>
    <row r="89" spans="1:20" s="200" customFormat="1">
      <c r="A89" s="204">
        <v>34</v>
      </c>
      <c r="B89" s="222" t="s">
        <v>4306</v>
      </c>
      <c r="C89" s="223" t="s">
        <v>3337</v>
      </c>
      <c r="D89" s="223" t="s">
        <v>3338</v>
      </c>
      <c r="E89" s="222" t="s">
        <v>3335</v>
      </c>
      <c r="F89" s="222" t="s">
        <v>4227</v>
      </c>
      <c r="G89" s="227"/>
      <c r="H89" s="222" t="s">
        <v>4228</v>
      </c>
      <c r="I89" s="222"/>
      <c r="J89" s="222" t="s">
        <v>4918</v>
      </c>
      <c r="K89" s="227"/>
      <c r="L89" s="222"/>
      <c r="M89" s="222" t="s">
        <v>4307</v>
      </c>
      <c r="N89" s="222" t="s">
        <v>3344</v>
      </c>
      <c r="O89" s="230" t="s">
        <v>56</v>
      </c>
      <c r="P89" s="207" t="s">
        <v>4867</v>
      </c>
      <c r="Q89" s="231" t="s">
        <v>3345</v>
      </c>
      <c r="R89" s="232"/>
      <c r="S89" s="204"/>
      <c r="T89" s="218">
        <f t="shared" si="2"/>
        <v>1879</v>
      </c>
    </row>
    <row r="90" spans="1:20" s="200" customFormat="1">
      <c r="A90" s="204">
        <v>34</v>
      </c>
      <c r="B90" s="256" t="s">
        <v>4308</v>
      </c>
      <c r="C90" s="223" t="s">
        <v>3347</v>
      </c>
      <c r="D90" s="223" t="s">
        <v>3348</v>
      </c>
      <c r="E90" s="222" t="s">
        <v>2439</v>
      </c>
      <c r="F90" s="256" t="s">
        <v>4309</v>
      </c>
      <c r="G90" s="227"/>
      <c r="H90" s="256" t="s">
        <v>4310</v>
      </c>
      <c r="I90" s="222" t="s">
        <v>2439</v>
      </c>
      <c r="J90" s="222" t="s">
        <v>4301</v>
      </c>
      <c r="K90" s="227"/>
      <c r="L90" s="222"/>
      <c r="M90" s="222" t="s">
        <v>3349</v>
      </c>
      <c r="N90" s="222"/>
      <c r="O90" s="230" t="s">
        <v>18</v>
      </c>
      <c r="P90" s="207" t="s">
        <v>4867</v>
      </c>
      <c r="Q90" s="231" t="s">
        <v>3350</v>
      </c>
      <c r="R90" s="222"/>
      <c r="S90" s="204"/>
      <c r="T90" s="218">
        <f t="shared" si="2"/>
        <v>1878</v>
      </c>
    </row>
    <row r="91" spans="1:20" s="200" customFormat="1">
      <c r="A91" s="204">
        <v>31</v>
      </c>
      <c r="B91" s="222" t="s">
        <v>4311</v>
      </c>
      <c r="C91" s="223" t="s">
        <v>3361</v>
      </c>
      <c r="D91" s="223" t="s">
        <v>3362</v>
      </c>
      <c r="E91" s="222" t="s">
        <v>2439</v>
      </c>
      <c r="F91" s="222" t="s">
        <v>4312</v>
      </c>
      <c r="G91" s="227"/>
      <c r="H91" s="222" t="s">
        <v>4313</v>
      </c>
      <c r="I91" s="222" t="s">
        <v>2439</v>
      </c>
      <c r="J91" s="222" t="s">
        <v>3363</v>
      </c>
      <c r="K91" s="227"/>
      <c r="L91" s="222" t="s">
        <v>2439</v>
      </c>
      <c r="M91" s="222" t="s">
        <v>4314</v>
      </c>
      <c r="N91" s="222" t="s">
        <v>3364</v>
      </c>
      <c r="O91" s="230" t="s">
        <v>18</v>
      </c>
      <c r="P91" s="207" t="s">
        <v>4867</v>
      </c>
      <c r="Q91" s="231" t="s">
        <v>3365</v>
      </c>
      <c r="R91" s="222"/>
      <c r="S91" s="204"/>
      <c r="T91" s="218">
        <f t="shared" ref="T91:T98" si="3">IF(ISTEXT(C91),VALUE(RIGHT(C91,4)),YEAR(C91))</f>
        <v>1857</v>
      </c>
    </row>
    <row r="92" spans="1:20" s="200" customFormat="1">
      <c r="A92" s="204">
        <v>50</v>
      </c>
      <c r="B92" s="188" t="s">
        <v>4315</v>
      </c>
      <c r="C92" s="223" t="s">
        <v>3891</v>
      </c>
      <c r="D92" s="223" t="s">
        <v>3892</v>
      </c>
      <c r="E92" s="222" t="s">
        <v>2439</v>
      </c>
      <c r="F92" s="256" t="s">
        <v>4309</v>
      </c>
      <c r="G92" s="227"/>
      <c r="H92" s="256" t="s">
        <v>4310</v>
      </c>
      <c r="I92" s="222" t="s">
        <v>2439</v>
      </c>
      <c r="J92" s="222" t="s">
        <v>4235</v>
      </c>
      <c r="K92" s="227"/>
      <c r="L92" s="222" t="s">
        <v>2439</v>
      </c>
      <c r="M92" s="222" t="s">
        <v>4316</v>
      </c>
      <c r="N92" s="222" t="s">
        <v>3344</v>
      </c>
      <c r="O92" s="230" t="s">
        <v>18</v>
      </c>
      <c r="P92" s="207" t="s">
        <v>4867</v>
      </c>
      <c r="Q92" s="231" t="s">
        <v>3893</v>
      </c>
      <c r="R92" s="222"/>
      <c r="S92" s="204"/>
      <c r="T92" s="218">
        <f t="shared" si="3"/>
        <v>1881</v>
      </c>
    </row>
    <row r="93" spans="1:20">
      <c r="A93" s="249">
        <v>15</v>
      </c>
      <c r="B93" s="256" t="s">
        <v>4919</v>
      </c>
      <c r="C93" s="275" t="s">
        <v>3942</v>
      </c>
      <c r="D93" s="251" t="s">
        <v>3943</v>
      </c>
      <c r="E93" s="250" t="s">
        <v>2439</v>
      </c>
      <c r="F93" s="256" t="s">
        <v>4920</v>
      </c>
      <c r="G93" s="252"/>
      <c r="H93" s="256" t="s">
        <v>4921</v>
      </c>
      <c r="I93" s="250"/>
      <c r="J93" s="188" t="s">
        <v>4922</v>
      </c>
      <c r="K93" s="277" t="s">
        <v>3310</v>
      </c>
      <c r="L93" s="250"/>
      <c r="M93" s="250" t="s">
        <v>4923</v>
      </c>
      <c r="N93" s="250"/>
      <c r="O93" s="276" t="s">
        <v>18</v>
      </c>
      <c r="P93" s="291" t="s">
        <v>4891</v>
      </c>
      <c r="Q93" s="253" t="s">
        <v>3944</v>
      </c>
      <c r="R93" s="250"/>
      <c r="S93" s="249"/>
      <c r="T93" s="254">
        <f t="shared" si="3"/>
        <v>1882</v>
      </c>
    </row>
    <row r="94" spans="1:20">
      <c r="A94" s="284">
        <v>2</v>
      </c>
      <c r="B94" s="285" t="s">
        <v>4560</v>
      </c>
      <c r="C94" s="286" t="s">
        <v>4071</v>
      </c>
      <c r="D94" s="286" t="s">
        <v>4070</v>
      </c>
      <c r="E94" s="285" t="s">
        <v>2439</v>
      </c>
      <c r="F94" s="285" t="s">
        <v>4561</v>
      </c>
      <c r="G94" s="287" t="s">
        <v>4072</v>
      </c>
      <c r="H94" s="285" t="s">
        <v>4562</v>
      </c>
      <c r="I94" s="285" t="s">
        <v>4073</v>
      </c>
      <c r="J94" s="285" t="s">
        <v>4074</v>
      </c>
      <c r="K94" s="287"/>
      <c r="L94" s="285" t="s">
        <v>2439</v>
      </c>
      <c r="M94" s="285" t="s">
        <v>4075</v>
      </c>
      <c r="N94" s="285" t="s">
        <v>4076</v>
      </c>
      <c r="O94" s="230" t="s">
        <v>56</v>
      </c>
      <c r="P94" s="207" t="s">
        <v>4867</v>
      </c>
      <c r="Q94" s="289" t="s">
        <v>2660</v>
      </c>
      <c r="R94" s="285"/>
      <c r="S94" s="284"/>
      <c r="T94" s="290">
        <f t="shared" si="3"/>
        <v>1883</v>
      </c>
    </row>
    <row r="95" spans="1:20">
      <c r="A95" s="284">
        <v>7</v>
      </c>
      <c r="B95" s="285" t="s">
        <v>4765</v>
      </c>
      <c r="C95" s="286" t="s">
        <v>4077</v>
      </c>
      <c r="D95" s="286" t="s">
        <v>4078</v>
      </c>
      <c r="E95" s="285" t="s">
        <v>2439</v>
      </c>
      <c r="F95" s="285" t="s">
        <v>4763</v>
      </c>
      <c r="G95" s="287"/>
      <c r="H95" s="285" t="s">
        <v>4764</v>
      </c>
      <c r="I95" s="285"/>
      <c r="J95" s="285" t="s">
        <v>4766</v>
      </c>
      <c r="K95" s="287" t="s">
        <v>2449</v>
      </c>
      <c r="L95" s="285" t="s">
        <v>4079</v>
      </c>
      <c r="M95" s="285" t="s">
        <v>4080</v>
      </c>
      <c r="N95" s="285"/>
      <c r="O95" s="230" t="s">
        <v>56</v>
      </c>
      <c r="P95" s="207" t="s">
        <v>4867</v>
      </c>
      <c r="Q95" s="289" t="s">
        <v>4081</v>
      </c>
      <c r="R95" s="285"/>
      <c r="S95" s="284"/>
      <c r="T95" s="290">
        <f t="shared" si="3"/>
        <v>1883</v>
      </c>
    </row>
    <row r="96" spans="1:20">
      <c r="A96" s="284">
        <v>9</v>
      </c>
      <c r="B96" s="280" t="s">
        <v>4317</v>
      </c>
      <c r="C96" s="281" t="s">
        <v>4082</v>
      </c>
      <c r="D96" s="281" t="s">
        <v>4083</v>
      </c>
      <c r="E96" s="280" t="s">
        <v>2439</v>
      </c>
      <c r="F96" s="280" t="s">
        <v>4318</v>
      </c>
      <c r="G96" s="282"/>
      <c r="H96" s="280" t="s">
        <v>4319</v>
      </c>
      <c r="I96" s="280" t="s">
        <v>2439</v>
      </c>
      <c r="J96" s="280" t="s">
        <v>4235</v>
      </c>
      <c r="K96" s="282"/>
      <c r="L96" s="280" t="s">
        <v>2439</v>
      </c>
      <c r="M96" s="280" t="s">
        <v>4320</v>
      </c>
      <c r="N96" s="280" t="s">
        <v>4321</v>
      </c>
      <c r="O96" s="288" t="s">
        <v>56</v>
      </c>
      <c r="P96" s="207" t="s">
        <v>4867</v>
      </c>
      <c r="Q96" s="289" t="s">
        <v>4081</v>
      </c>
      <c r="R96" s="280"/>
      <c r="S96" s="284"/>
      <c r="T96" s="290">
        <f t="shared" si="3"/>
        <v>1883</v>
      </c>
    </row>
    <row r="97" spans="1:20">
      <c r="A97" s="284">
        <v>80</v>
      </c>
      <c r="B97" s="66" t="s">
        <v>4322</v>
      </c>
      <c r="C97" s="281" t="s">
        <v>4093</v>
      </c>
      <c r="D97" s="281" t="s">
        <v>4094</v>
      </c>
      <c r="E97" s="280" t="s">
        <v>2439</v>
      </c>
      <c r="F97" s="280" t="s">
        <v>4301</v>
      </c>
      <c r="G97" s="282"/>
      <c r="H97" s="280" t="s">
        <v>4302</v>
      </c>
      <c r="I97" s="280" t="s">
        <v>2439</v>
      </c>
      <c r="J97" s="280" t="s">
        <v>4323</v>
      </c>
      <c r="K97" s="282"/>
      <c r="L97" s="280"/>
      <c r="M97" s="280" t="s">
        <v>4924</v>
      </c>
      <c r="N97" s="280"/>
      <c r="O97" s="288" t="s">
        <v>4095</v>
      </c>
      <c r="P97" s="207" t="s">
        <v>4867</v>
      </c>
      <c r="Q97" s="283" t="s">
        <v>4096</v>
      </c>
      <c r="R97" s="280"/>
      <c r="S97" s="284"/>
      <c r="T97" s="290">
        <f t="shared" si="3"/>
        <v>1882</v>
      </c>
    </row>
    <row r="98" spans="1:20">
      <c r="A98" s="284">
        <v>92</v>
      </c>
      <c r="B98" s="258" t="s">
        <v>4514</v>
      </c>
      <c r="C98" s="281" t="s">
        <v>4097</v>
      </c>
      <c r="D98" s="281" t="s">
        <v>4098</v>
      </c>
      <c r="E98" s="280" t="s">
        <v>2439</v>
      </c>
      <c r="F98" s="258" t="s">
        <v>4563</v>
      </c>
      <c r="G98" s="282"/>
      <c r="H98" s="258" t="s">
        <v>4564</v>
      </c>
      <c r="I98" s="280" t="s">
        <v>2439</v>
      </c>
      <c r="J98" s="280" t="s">
        <v>4516</v>
      </c>
      <c r="K98" s="282" t="s">
        <v>2563</v>
      </c>
      <c r="L98" s="280" t="s">
        <v>2439</v>
      </c>
      <c r="M98" s="280" t="s">
        <v>4099</v>
      </c>
      <c r="N98" s="280" t="s">
        <v>2537</v>
      </c>
      <c r="O98" s="288" t="s">
        <v>18</v>
      </c>
      <c r="P98" s="207" t="s">
        <v>4867</v>
      </c>
      <c r="Q98" s="283" t="s">
        <v>4100</v>
      </c>
      <c r="R98" s="280"/>
      <c r="S98" s="284"/>
      <c r="T98" s="290">
        <f t="shared" si="3"/>
        <v>1882</v>
      </c>
    </row>
    <row r="99" spans="1:20">
      <c r="A99" s="292">
        <v>123</v>
      </c>
      <c r="B99" s="256" t="s">
        <v>4767</v>
      </c>
      <c r="C99" s="294" t="s">
        <v>4102</v>
      </c>
      <c r="D99" s="294" t="s">
        <v>4103</v>
      </c>
      <c r="E99" s="293" t="s">
        <v>2439</v>
      </c>
      <c r="F99" s="293"/>
      <c r="G99" s="295" t="s">
        <v>4104</v>
      </c>
      <c r="H99" s="256" t="s">
        <v>4768</v>
      </c>
      <c r="I99" s="293"/>
      <c r="J99" s="293"/>
      <c r="K99" s="295"/>
      <c r="L99" s="293" t="s">
        <v>74</v>
      </c>
      <c r="M99" s="293" t="s">
        <v>4105</v>
      </c>
      <c r="N99" s="293" t="s">
        <v>4106</v>
      </c>
      <c r="O99" s="296" t="s">
        <v>18</v>
      </c>
      <c r="P99" s="207" t="s">
        <v>4867</v>
      </c>
      <c r="Q99" s="297" t="s">
        <v>4107</v>
      </c>
      <c r="R99" s="293"/>
      <c r="S99" s="292"/>
      <c r="T99" s="298">
        <f>IF(ISTEXT(C99),VALUE(RIGHT(C99,4)),YEAR(C99))</f>
        <v>1884</v>
      </c>
    </row>
    <row r="100" spans="1:20">
      <c r="B100" s="6"/>
      <c r="C100" s="51"/>
      <c r="D100" s="51"/>
      <c r="E100" s="6"/>
      <c r="F100" s="6"/>
      <c r="G100" s="29"/>
      <c r="H100" s="6"/>
      <c r="I100" s="6"/>
      <c r="J100" s="6"/>
      <c r="K100" s="29"/>
      <c r="L100" s="6"/>
      <c r="M100" s="6"/>
      <c r="N100" s="6"/>
      <c r="O100" s="6"/>
      <c r="P100" s="6"/>
      <c r="Q100" s="44"/>
      <c r="R100" s="6"/>
    </row>
    <row r="101" spans="1:20">
      <c r="B101" s="6"/>
      <c r="C101" s="51"/>
      <c r="D101" s="51"/>
      <c r="E101" s="6"/>
      <c r="F101" s="6"/>
      <c r="G101" s="29"/>
      <c r="H101" s="6"/>
      <c r="I101" s="6"/>
      <c r="J101" s="6"/>
      <c r="K101" s="29"/>
      <c r="L101" s="6"/>
      <c r="M101" s="6"/>
      <c r="N101" s="6"/>
      <c r="O101" s="6"/>
      <c r="P101" s="6"/>
      <c r="Q101" s="44"/>
      <c r="R101" s="6"/>
    </row>
    <row r="102" spans="1:20">
      <c r="B102" s="6"/>
      <c r="C102" s="51"/>
      <c r="D102" s="51"/>
      <c r="E102" s="6"/>
      <c r="F102" s="6"/>
      <c r="G102" s="29"/>
      <c r="H102" s="6"/>
      <c r="I102" s="6"/>
      <c r="J102" s="6"/>
      <c r="K102" s="29"/>
      <c r="L102" s="6"/>
      <c r="M102" s="6"/>
      <c r="N102" s="6"/>
      <c r="O102" s="6"/>
      <c r="P102" s="6"/>
      <c r="Q102" s="44"/>
      <c r="R102" s="6"/>
    </row>
    <row r="103" spans="1:20">
      <c r="B103" s="6"/>
      <c r="C103" s="51"/>
      <c r="D103" s="51"/>
      <c r="E103" s="6"/>
      <c r="F103" s="6"/>
      <c r="G103" s="29"/>
      <c r="H103" s="6"/>
      <c r="I103" s="6"/>
      <c r="J103" s="6"/>
      <c r="K103" s="29"/>
      <c r="L103" s="6"/>
      <c r="M103" s="6"/>
      <c r="N103" s="6"/>
      <c r="O103" s="6"/>
      <c r="P103" s="6"/>
      <c r="Q103" s="44"/>
      <c r="R103" s="6"/>
    </row>
    <row r="104" spans="1:20">
      <c r="B104" s="6"/>
      <c r="C104" s="51"/>
      <c r="D104" s="51"/>
      <c r="E104" s="6"/>
      <c r="F104" s="6"/>
      <c r="G104" s="29"/>
      <c r="H104" s="6"/>
      <c r="I104" s="6"/>
      <c r="J104" s="6"/>
      <c r="K104" s="29"/>
      <c r="L104" s="6"/>
      <c r="M104" s="6"/>
      <c r="N104" s="6"/>
      <c r="O104" s="6"/>
      <c r="P104" s="6"/>
      <c r="Q104" s="44"/>
      <c r="R104" s="6"/>
    </row>
    <row r="105" spans="1:20">
      <c r="B105" s="6"/>
      <c r="C105" s="51"/>
      <c r="D105" s="51"/>
      <c r="E105" s="6"/>
      <c r="F105" s="6"/>
      <c r="G105" s="29"/>
      <c r="H105" s="6"/>
      <c r="I105" s="6"/>
      <c r="J105" s="6"/>
      <c r="K105" s="29"/>
      <c r="L105" s="6"/>
      <c r="M105" s="6"/>
      <c r="N105" s="6"/>
      <c r="O105" s="6"/>
      <c r="P105" s="6"/>
      <c r="Q105" s="44"/>
      <c r="R105" s="6"/>
    </row>
    <row r="106" spans="1:20">
      <c r="B106" s="6"/>
      <c r="C106" s="51"/>
      <c r="D106" s="51"/>
      <c r="E106" s="6"/>
      <c r="F106" s="6"/>
      <c r="G106" s="29"/>
      <c r="H106" s="6"/>
      <c r="I106" s="6"/>
      <c r="J106" s="6"/>
      <c r="K106" s="29"/>
      <c r="L106" s="6"/>
      <c r="M106" s="6"/>
      <c r="N106" s="6"/>
      <c r="O106" s="6"/>
      <c r="P106" s="6"/>
      <c r="Q106" s="44"/>
      <c r="R106" s="6"/>
    </row>
    <row r="107" spans="1:20">
      <c r="B107" s="6"/>
      <c r="C107" s="51"/>
      <c r="D107" s="51"/>
      <c r="E107" s="6"/>
      <c r="F107" s="6"/>
      <c r="G107" s="29"/>
      <c r="H107" s="6"/>
      <c r="I107" s="6"/>
      <c r="J107" s="6"/>
      <c r="K107" s="29"/>
      <c r="L107" s="6"/>
      <c r="M107" s="6"/>
      <c r="N107" s="6"/>
      <c r="O107" s="6"/>
      <c r="P107" s="6"/>
      <c r="Q107" s="44"/>
      <c r="R107" s="6"/>
    </row>
    <row r="108" spans="1:20">
      <c r="B108" s="6"/>
      <c r="C108" s="51"/>
      <c r="D108" s="51"/>
      <c r="E108" s="6"/>
      <c r="F108" s="6"/>
      <c r="G108" s="29"/>
      <c r="H108" s="6"/>
      <c r="I108" s="6"/>
      <c r="J108" s="6"/>
      <c r="K108" s="29"/>
      <c r="L108" s="6"/>
      <c r="M108" s="6"/>
      <c r="N108" s="6"/>
      <c r="O108" s="6"/>
      <c r="P108" s="6"/>
      <c r="Q108" s="44"/>
      <c r="R108" s="6"/>
    </row>
    <row r="109" spans="1:20">
      <c r="B109" s="6"/>
      <c r="C109" s="51"/>
      <c r="D109" s="51"/>
      <c r="E109" s="6"/>
      <c r="F109" s="6"/>
      <c r="G109" s="29"/>
      <c r="H109" s="6"/>
      <c r="I109" s="6"/>
      <c r="J109" s="6"/>
      <c r="K109" s="29"/>
      <c r="L109" s="6"/>
      <c r="M109" s="6"/>
      <c r="N109" s="6"/>
      <c r="O109" s="6"/>
      <c r="P109" s="6"/>
      <c r="Q109" s="44"/>
      <c r="R109" s="6"/>
    </row>
    <row r="110" spans="1:20">
      <c r="B110" s="6"/>
      <c r="C110" s="51"/>
      <c r="D110" s="51"/>
      <c r="E110" s="6"/>
      <c r="F110" s="6"/>
      <c r="G110" s="29"/>
      <c r="H110" s="6"/>
      <c r="I110" s="6"/>
      <c r="J110" s="6"/>
      <c r="K110" s="29"/>
      <c r="L110" s="6"/>
      <c r="M110" s="6"/>
      <c r="N110" s="6"/>
      <c r="O110" s="6"/>
      <c r="P110" s="6"/>
      <c r="Q110" s="44"/>
      <c r="R110" s="6"/>
    </row>
    <row r="111" spans="1:20">
      <c r="B111" s="6"/>
      <c r="C111" s="51"/>
      <c r="D111" s="51"/>
      <c r="E111" s="6"/>
      <c r="F111" s="6"/>
      <c r="G111" s="29"/>
      <c r="H111" s="6"/>
      <c r="I111" s="6"/>
      <c r="J111" s="6"/>
      <c r="K111" s="29"/>
      <c r="L111" s="6"/>
      <c r="M111" s="6"/>
      <c r="N111" s="6"/>
      <c r="O111" s="6"/>
      <c r="P111" s="6"/>
      <c r="Q111" s="44"/>
      <c r="R111" s="6"/>
    </row>
    <row r="112" spans="1:20">
      <c r="B112" s="6"/>
      <c r="C112" s="51"/>
      <c r="D112" s="51"/>
      <c r="E112" s="6"/>
      <c r="F112" s="6"/>
      <c r="G112" s="29"/>
      <c r="H112" s="6"/>
      <c r="I112" s="6"/>
      <c r="J112" s="6"/>
      <c r="K112" s="29"/>
      <c r="L112" s="6"/>
      <c r="M112" s="6"/>
      <c r="N112" s="6"/>
      <c r="O112" s="6"/>
      <c r="P112" s="6"/>
      <c r="Q112" s="44"/>
      <c r="R112" s="6"/>
    </row>
    <row r="113" spans="2:18">
      <c r="B113" s="6"/>
      <c r="C113" s="51"/>
      <c r="D113" s="51"/>
      <c r="E113" s="6"/>
      <c r="F113" s="6"/>
      <c r="G113" s="29"/>
      <c r="H113" s="6"/>
      <c r="I113" s="6"/>
      <c r="J113" s="6"/>
      <c r="K113" s="29"/>
      <c r="L113" s="6"/>
      <c r="M113" s="6"/>
      <c r="N113" s="6"/>
      <c r="O113" s="6"/>
      <c r="P113" s="6"/>
      <c r="Q113" s="44"/>
      <c r="R113" s="6"/>
    </row>
    <row r="114" spans="2:18">
      <c r="B114" s="6"/>
      <c r="C114" s="51"/>
      <c r="D114" s="51"/>
      <c r="E114" s="6"/>
      <c r="F114" s="6"/>
      <c r="G114" s="29"/>
      <c r="H114" s="6"/>
      <c r="I114" s="6"/>
      <c r="J114" s="6"/>
      <c r="K114" s="29"/>
      <c r="L114" s="6"/>
      <c r="M114" s="6"/>
      <c r="N114" s="6"/>
      <c r="O114" s="6"/>
      <c r="P114" s="6"/>
      <c r="Q114" s="44"/>
      <c r="R114" s="6"/>
    </row>
    <row r="115" spans="2:18">
      <c r="B115" s="6"/>
      <c r="C115" s="51"/>
      <c r="D115" s="51"/>
      <c r="E115" s="6"/>
      <c r="F115" s="6"/>
      <c r="G115" s="29"/>
      <c r="H115" s="6"/>
      <c r="I115" s="6"/>
      <c r="J115" s="6"/>
      <c r="K115" s="29"/>
      <c r="L115" s="6"/>
      <c r="M115" s="6"/>
      <c r="N115" s="6"/>
      <c r="O115" s="6"/>
      <c r="P115" s="6"/>
      <c r="Q115" s="44"/>
      <c r="R115" s="6"/>
    </row>
  </sheetData>
  <phoneticPr fontId="19" type="noConversion"/>
  <conditionalFormatting sqref="B1:B1048576 F1:F98 F100:F1048576 H1:H1048576 J1:J1048576 M1:M88 M90:M1048576">
    <cfRule type="duplicateValues" dxfId="63" priority="1"/>
  </conditionalFormatting>
  <hyperlinks>
    <hyperlink ref="B1" location="'Все найденные персоны'!A3" display="Родившийся" xr:uid="{FE3C37C4-9308-4D8A-BAAC-E58843F8E09F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F58"/>
  <sheetViews>
    <sheetView workbookViewId="0">
      <pane ySplit="1" topLeftCell="A41" activePane="bottomLeft" state="frozen"/>
      <selection pane="bottomLeft" activeCell="AD26" sqref="AD26"/>
    </sheetView>
  </sheetViews>
  <sheetFormatPr defaultRowHeight="15"/>
  <cols>
    <col min="1" max="1" width="11.85546875" customWidth="1"/>
    <col min="2" max="2" width="12.28515625" style="53" customWidth="1"/>
    <col min="3" max="3" width="30.5703125" bestFit="1" customWidth="1"/>
    <col min="4" max="4" width="21.85546875" customWidth="1"/>
    <col min="5" max="5" width="16" style="31" customWidth="1"/>
    <col min="6" max="6" width="11.140625" customWidth="1"/>
    <col min="7" max="7" width="12.28515625" customWidth="1"/>
    <col min="8" max="8" width="11.28515625" style="75" customWidth="1"/>
    <col min="9" max="9" width="16.140625" style="75" customWidth="1"/>
    <col min="10" max="10" width="19.7109375" customWidth="1"/>
    <col min="11" max="11" width="33.42578125" style="31" bestFit="1" customWidth="1"/>
    <col min="12" max="13" width="27.28515625" style="31" customWidth="1"/>
    <col min="14" max="14" width="12.140625" customWidth="1"/>
    <col min="15" max="15" width="18.28515625" customWidth="1"/>
    <col min="16" max="16" width="11.28515625" style="75" customWidth="1"/>
    <col min="17" max="17" width="10.28515625" style="75" customWidth="1"/>
    <col min="18" max="18" width="23.28515625" customWidth="1"/>
    <col min="19" max="20" width="21.85546875" customWidth="1"/>
    <col min="21" max="21" width="27.42578125" customWidth="1"/>
    <col min="22" max="23" width="38.42578125" customWidth="1"/>
    <col min="24" max="24" width="29.85546875" customWidth="1"/>
    <col min="25" max="25" width="27.28515625" customWidth="1"/>
    <col min="26" max="26" width="22" customWidth="1"/>
    <col min="27" max="27" width="10" style="12" customWidth="1"/>
  </cols>
  <sheetData>
    <row r="1" spans="1:32">
      <c r="A1" s="79" t="s">
        <v>15</v>
      </c>
      <c r="B1" s="54" t="s">
        <v>12</v>
      </c>
      <c r="C1" s="8" t="s">
        <v>153</v>
      </c>
      <c r="D1" s="14" t="s">
        <v>151</v>
      </c>
      <c r="E1" s="64" t="s">
        <v>2633</v>
      </c>
      <c r="F1" s="14" t="s">
        <v>20</v>
      </c>
      <c r="G1" s="14" t="s">
        <v>148</v>
      </c>
      <c r="H1" s="82" t="s">
        <v>149</v>
      </c>
      <c r="I1" s="83" t="s">
        <v>154</v>
      </c>
      <c r="J1" s="14" t="s">
        <v>150</v>
      </c>
      <c r="K1" s="85" t="s">
        <v>152</v>
      </c>
      <c r="L1" s="64" t="s">
        <v>19</v>
      </c>
      <c r="M1" s="64" t="s">
        <v>2691</v>
      </c>
      <c r="N1" s="14" t="s">
        <v>2713</v>
      </c>
      <c r="O1" s="14" t="s">
        <v>155</v>
      </c>
      <c r="P1" s="82" t="s">
        <v>2715</v>
      </c>
      <c r="Q1" s="83" t="s">
        <v>2714</v>
      </c>
      <c r="R1" s="8" t="s">
        <v>13</v>
      </c>
      <c r="S1" s="8" t="s">
        <v>2693</v>
      </c>
      <c r="T1" s="8" t="s">
        <v>2694</v>
      </c>
      <c r="U1" s="8" t="s">
        <v>2695</v>
      </c>
      <c r="V1" s="14" t="s">
        <v>2696</v>
      </c>
      <c r="W1" s="14" t="s">
        <v>3293</v>
      </c>
      <c r="X1" s="6" t="s">
        <v>11</v>
      </c>
      <c r="Y1" s="7" t="s">
        <v>10</v>
      </c>
      <c r="Z1" t="s">
        <v>156</v>
      </c>
      <c r="AA1" s="243" t="s">
        <v>3294</v>
      </c>
      <c r="AC1" t="s">
        <v>4109</v>
      </c>
      <c r="AD1">
        <f>COUNTIF($AC:$AC,"&gt;0")</f>
        <v>22</v>
      </c>
      <c r="AE1">
        <f>COUNTIF($AC:$AC,"&lt;0")</f>
        <v>10</v>
      </c>
      <c r="AF1">
        <f>COUNTIF($AC:$AC,"=0")</f>
        <v>8</v>
      </c>
    </row>
    <row r="2" spans="1:32" s="31" customFormat="1">
      <c r="A2" s="299">
        <v>17</v>
      </c>
      <c r="B2" s="300" t="s">
        <v>2699</v>
      </c>
      <c r="C2" s="29" t="s">
        <v>2217</v>
      </c>
      <c r="D2" s="47" t="s">
        <v>2707</v>
      </c>
      <c r="E2" s="47" t="s">
        <v>2706</v>
      </c>
      <c r="F2" s="49" t="s">
        <v>3913</v>
      </c>
      <c r="G2" s="47">
        <v>18</v>
      </c>
      <c r="H2" s="301">
        <f t="shared" ref="H2:H8" si="0">AA2-G2</f>
        <v>1861</v>
      </c>
      <c r="I2" s="301" t="s">
        <v>2640</v>
      </c>
      <c r="J2" s="47" t="s">
        <v>14</v>
      </c>
      <c r="K2" s="69" t="s">
        <v>4565</v>
      </c>
      <c r="L2" s="47" t="s">
        <v>4566</v>
      </c>
      <c r="M2" s="47"/>
      <c r="N2" s="49" t="s">
        <v>3913</v>
      </c>
      <c r="O2" s="47">
        <v>18</v>
      </c>
      <c r="P2" s="301">
        <f t="shared" ref="P2:P8" si="1">AA2-O2</f>
        <v>1861</v>
      </c>
      <c r="Q2" s="301" t="s">
        <v>2640</v>
      </c>
      <c r="R2" s="29" t="s">
        <v>14</v>
      </c>
      <c r="S2" s="302" t="s">
        <v>2708</v>
      </c>
      <c r="T2" s="302" t="s">
        <v>2709</v>
      </c>
      <c r="U2" s="302" t="s">
        <v>4567</v>
      </c>
      <c r="V2" s="303" t="s">
        <v>4568</v>
      </c>
      <c r="W2" s="303"/>
      <c r="X2" s="304" t="s">
        <v>56</v>
      </c>
      <c r="Y2" s="70" t="s">
        <v>158</v>
      </c>
      <c r="Z2" s="31" t="s">
        <v>157</v>
      </c>
      <c r="AA2" s="305">
        <f t="shared" ref="AA2:AA8" si="2">IF(ISTEXT(B2),VALUE(RIGHT(B2,4)),YEAR(B2))</f>
        <v>1879</v>
      </c>
      <c r="AC2" s="31">
        <f>Брак_tb[[#This Row],[Возраст жениха]]-Брак_tb[[#This Row],[Возраст невесты]]</f>
        <v>0</v>
      </c>
    </row>
    <row r="3" spans="1:32" s="31" customFormat="1">
      <c r="A3" s="299">
        <v>8</v>
      </c>
      <c r="B3" s="300">
        <v>381</v>
      </c>
      <c r="C3" s="306" t="s">
        <v>4514</v>
      </c>
      <c r="D3" s="47"/>
      <c r="E3" s="47"/>
      <c r="F3" s="49" t="s">
        <v>3913</v>
      </c>
      <c r="G3" s="47">
        <v>18</v>
      </c>
      <c r="H3" s="301">
        <f t="shared" si="0"/>
        <v>1883</v>
      </c>
      <c r="I3" s="301" t="s">
        <v>2640</v>
      </c>
      <c r="J3" s="47" t="s">
        <v>14</v>
      </c>
      <c r="K3" s="259" t="s">
        <v>4767</v>
      </c>
      <c r="L3" s="261" t="s">
        <v>4769</v>
      </c>
      <c r="M3" s="47" t="s">
        <v>2692</v>
      </c>
      <c r="N3" s="49" t="s">
        <v>3913</v>
      </c>
      <c r="O3" s="47">
        <v>16</v>
      </c>
      <c r="P3" s="301">
        <f t="shared" si="1"/>
        <v>1885</v>
      </c>
      <c r="Q3" s="301" t="s">
        <v>2640</v>
      </c>
      <c r="R3" s="29" t="s">
        <v>14</v>
      </c>
      <c r="S3" s="307" t="s">
        <v>4516</v>
      </c>
      <c r="T3" s="302" t="s">
        <v>4569</v>
      </c>
      <c r="U3" s="302" t="s">
        <v>4724</v>
      </c>
      <c r="V3" s="303" t="s">
        <v>2217</v>
      </c>
      <c r="W3" s="303" t="s">
        <v>2697</v>
      </c>
      <c r="X3" s="304" t="s">
        <v>2690</v>
      </c>
      <c r="Y3" s="70" t="s">
        <v>5077</v>
      </c>
      <c r="Z3" s="72" t="s">
        <v>2698</v>
      </c>
      <c r="AA3" s="305">
        <f t="shared" si="2"/>
        <v>1901</v>
      </c>
      <c r="AC3" s="31">
        <f>Брак_tb[[#This Row],[Возраст жениха]]-Брак_tb[[#This Row],[Возраст невесты]]</f>
        <v>2</v>
      </c>
    </row>
    <row r="4" spans="1:32">
      <c r="A4" s="80">
        <v>43</v>
      </c>
      <c r="B4" s="51">
        <v>1402</v>
      </c>
      <c r="C4" s="6" t="s">
        <v>4557</v>
      </c>
      <c r="D4" s="15"/>
      <c r="E4" s="47"/>
      <c r="F4" s="171" t="s">
        <v>3913</v>
      </c>
      <c r="G4" s="15">
        <v>18</v>
      </c>
      <c r="H4" s="84">
        <f t="shared" si="0"/>
        <v>1885</v>
      </c>
      <c r="I4" s="84" t="s">
        <v>2640</v>
      </c>
      <c r="J4" s="15" t="s">
        <v>14</v>
      </c>
      <c r="K4" s="69" t="s">
        <v>4558</v>
      </c>
      <c r="L4" s="73" t="s">
        <v>4570</v>
      </c>
      <c r="M4" s="65"/>
      <c r="N4" s="171" t="s">
        <v>3913</v>
      </c>
      <c r="O4" s="15">
        <v>18</v>
      </c>
      <c r="P4" s="84">
        <f t="shared" si="1"/>
        <v>1885</v>
      </c>
      <c r="Q4" s="84" t="s">
        <v>2640</v>
      </c>
      <c r="R4" s="6" t="s">
        <v>14</v>
      </c>
      <c r="S4" s="7" t="s">
        <v>4506</v>
      </c>
      <c r="T4" s="7" t="s">
        <v>2700</v>
      </c>
      <c r="U4" s="274" t="s">
        <v>4571</v>
      </c>
      <c r="V4" s="74" t="s">
        <v>4529</v>
      </c>
      <c r="W4" s="71"/>
      <c r="X4" s="16" t="s">
        <v>56</v>
      </c>
      <c r="Y4" s="70" t="s">
        <v>4867</v>
      </c>
      <c r="AA4" s="81">
        <f t="shared" si="2"/>
        <v>1903</v>
      </c>
      <c r="AC4" s="31">
        <f>Брак_tb[[#This Row],[Возраст жениха]]-Брак_tb[[#This Row],[Возраст невесты]]</f>
        <v>0</v>
      </c>
    </row>
    <row r="5" spans="1:32">
      <c r="A5" s="170">
        <v>25</v>
      </c>
      <c r="B5" s="52" t="s">
        <v>3894</v>
      </c>
      <c r="C5" s="40" t="s">
        <v>4720</v>
      </c>
      <c r="D5" s="171" t="s">
        <v>4770</v>
      </c>
      <c r="E5" s="49"/>
      <c r="F5" s="171" t="s">
        <v>3913</v>
      </c>
      <c r="G5" s="171">
        <v>20</v>
      </c>
      <c r="H5" s="172">
        <f t="shared" si="0"/>
        <v>1861</v>
      </c>
      <c r="I5" s="173" t="s">
        <v>2640</v>
      </c>
      <c r="J5" s="174" t="s">
        <v>14</v>
      </c>
      <c r="K5" s="175" t="s">
        <v>3895</v>
      </c>
      <c r="L5" s="49" t="s">
        <v>3896</v>
      </c>
      <c r="M5" s="49"/>
      <c r="N5" s="171"/>
      <c r="O5" s="171">
        <v>19</v>
      </c>
      <c r="P5" s="172">
        <f t="shared" si="1"/>
        <v>1862</v>
      </c>
      <c r="Q5" s="173" t="s">
        <v>2640</v>
      </c>
      <c r="R5" s="41" t="s">
        <v>14</v>
      </c>
      <c r="S5" s="41" t="s">
        <v>3897</v>
      </c>
      <c r="T5" s="41" t="s">
        <v>3898</v>
      </c>
      <c r="U5" s="9" t="s">
        <v>3899</v>
      </c>
      <c r="V5" s="176" t="s">
        <v>1257</v>
      </c>
      <c r="W5" s="176"/>
      <c r="X5" s="177" t="s">
        <v>56</v>
      </c>
      <c r="Y5" s="70" t="s">
        <v>4867</v>
      </c>
      <c r="Z5" s="5" t="s">
        <v>3900</v>
      </c>
      <c r="AA5" s="178">
        <f t="shared" si="2"/>
        <v>1881</v>
      </c>
      <c r="AC5" s="31">
        <f>Брак_tb[[#This Row],[Возраст жениха]]-Брак_tb[[#This Row],[Возраст невесты]]</f>
        <v>1</v>
      </c>
    </row>
    <row r="6" spans="1:32">
      <c r="A6" s="170">
        <v>12</v>
      </c>
      <c r="B6" s="52">
        <v>383</v>
      </c>
      <c r="C6" s="5" t="s">
        <v>3902</v>
      </c>
      <c r="D6" s="5"/>
      <c r="E6" s="49"/>
      <c r="F6" s="171" t="s">
        <v>3913</v>
      </c>
      <c r="G6" s="171">
        <v>18</v>
      </c>
      <c r="H6" s="172">
        <f t="shared" si="0"/>
        <v>1883</v>
      </c>
      <c r="I6" s="173" t="s">
        <v>2640</v>
      </c>
      <c r="J6" s="174" t="s">
        <v>14</v>
      </c>
      <c r="K6" s="10" t="s">
        <v>4324</v>
      </c>
      <c r="L6" s="10" t="s">
        <v>4240</v>
      </c>
      <c r="M6" s="10"/>
      <c r="N6" s="171" t="s">
        <v>3913</v>
      </c>
      <c r="O6" s="171">
        <v>17</v>
      </c>
      <c r="P6" s="172">
        <f t="shared" si="1"/>
        <v>1884</v>
      </c>
      <c r="Q6" s="173" t="s">
        <v>2640</v>
      </c>
      <c r="R6" s="41" t="s">
        <v>14</v>
      </c>
      <c r="S6" s="41" t="s">
        <v>3903</v>
      </c>
      <c r="T6" s="41" t="s">
        <v>3904</v>
      </c>
      <c r="U6" s="5" t="s">
        <v>3905</v>
      </c>
      <c r="V6" s="5" t="s">
        <v>4325</v>
      </c>
      <c r="W6" s="5"/>
      <c r="X6" s="5" t="s">
        <v>56</v>
      </c>
      <c r="Y6" s="70" t="s">
        <v>4867</v>
      </c>
      <c r="Z6" s="5" t="s">
        <v>3906</v>
      </c>
      <c r="AA6" s="178">
        <f t="shared" si="2"/>
        <v>1901</v>
      </c>
      <c r="AC6" s="31">
        <f>Брак_tb[[#This Row],[Возраст жениха]]-Брак_tb[[#This Row],[Возраст невесты]]</f>
        <v>1</v>
      </c>
    </row>
    <row r="7" spans="1:32">
      <c r="A7" s="170">
        <v>23</v>
      </c>
      <c r="B7" s="52">
        <v>388</v>
      </c>
      <c r="C7" s="5" t="s">
        <v>3912</v>
      </c>
      <c r="D7" s="5"/>
      <c r="E7" s="49"/>
      <c r="F7" s="171" t="s">
        <v>3913</v>
      </c>
      <c r="G7" s="171">
        <v>18</v>
      </c>
      <c r="H7" s="172">
        <f t="shared" si="0"/>
        <v>1883</v>
      </c>
      <c r="I7" s="173" t="s">
        <v>2640</v>
      </c>
      <c r="J7" s="174" t="s">
        <v>3914</v>
      </c>
      <c r="K7" s="10" t="s">
        <v>4326</v>
      </c>
      <c r="L7" s="10" t="s">
        <v>4327</v>
      </c>
      <c r="M7" s="10"/>
      <c r="N7" s="171" t="s">
        <v>3913</v>
      </c>
      <c r="O7" s="171">
        <v>19</v>
      </c>
      <c r="P7" s="172">
        <f t="shared" si="1"/>
        <v>1882</v>
      </c>
      <c r="Q7" s="173" t="s">
        <v>2640</v>
      </c>
      <c r="R7" s="41" t="s">
        <v>14</v>
      </c>
      <c r="S7" s="41" t="s">
        <v>3915</v>
      </c>
      <c r="T7" s="41" t="s">
        <v>3916</v>
      </c>
      <c r="U7" s="5" t="s">
        <v>4328</v>
      </c>
      <c r="V7" s="5" t="s">
        <v>4329</v>
      </c>
      <c r="W7" s="5"/>
      <c r="X7" s="5" t="s">
        <v>56</v>
      </c>
      <c r="Y7" s="70" t="s">
        <v>4867</v>
      </c>
      <c r="Z7" s="192" t="s">
        <v>3917</v>
      </c>
      <c r="AA7" s="178">
        <f t="shared" si="2"/>
        <v>1901</v>
      </c>
      <c r="AC7" s="31">
        <f>Брак_tb[[#This Row],[Возраст жениха]]-Брак_tb[[#This Row],[Возраст невесты]]</f>
        <v>-1</v>
      </c>
    </row>
    <row r="8" spans="1:32">
      <c r="A8" s="170">
        <v>50</v>
      </c>
      <c r="B8" s="52">
        <v>397</v>
      </c>
      <c r="C8" s="5" t="s">
        <v>4330</v>
      </c>
      <c r="D8" s="5" t="s">
        <v>4331</v>
      </c>
      <c r="E8" s="49"/>
      <c r="F8" s="171" t="s">
        <v>3913</v>
      </c>
      <c r="G8" s="171">
        <v>19</v>
      </c>
      <c r="H8" s="172">
        <f t="shared" si="0"/>
        <v>1882</v>
      </c>
      <c r="I8" s="173" t="s">
        <v>2640</v>
      </c>
      <c r="J8" s="174" t="s">
        <v>14</v>
      </c>
      <c r="K8" s="10" t="s">
        <v>3918</v>
      </c>
      <c r="L8" s="10" t="s">
        <v>3919</v>
      </c>
      <c r="M8" s="10"/>
      <c r="N8" s="171" t="s">
        <v>3913</v>
      </c>
      <c r="O8" s="171">
        <v>19</v>
      </c>
      <c r="P8" s="172">
        <f t="shared" si="1"/>
        <v>1882</v>
      </c>
      <c r="Q8" s="173" t="s">
        <v>2640</v>
      </c>
      <c r="R8" s="41" t="s">
        <v>2431</v>
      </c>
      <c r="S8" s="41" t="s">
        <v>4332</v>
      </c>
      <c r="T8" s="41" t="s">
        <v>3920</v>
      </c>
      <c r="U8" s="5" t="s">
        <v>3921</v>
      </c>
      <c r="V8" s="5" t="s">
        <v>3922</v>
      </c>
      <c r="W8" s="5"/>
      <c r="X8" s="5" t="s">
        <v>56</v>
      </c>
      <c r="Y8" s="70" t="s">
        <v>4867</v>
      </c>
      <c r="Z8" s="5" t="s">
        <v>3923</v>
      </c>
      <c r="AA8" s="178">
        <f t="shared" si="2"/>
        <v>1901</v>
      </c>
      <c r="AC8" s="31">
        <f>Брак_tb[[#This Row],[Возраст жениха]]-Брак_tb[[#This Row],[Возраст невесты]]</f>
        <v>0</v>
      </c>
    </row>
    <row r="9" spans="1:32">
      <c r="A9" s="170">
        <v>57</v>
      </c>
      <c r="B9" s="52">
        <v>399</v>
      </c>
      <c r="C9" s="5" t="s">
        <v>4325</v>
      </c>
      <c r="D9" s="5"/>
      <c r="E9" s="49" t="s">
        <v>3924</v>
      </c>
      <c r="F9" s="171" t="s">
        <v>3913</v>
      </c>
      <c r="G9" s="171">
        <v>25</v>
      </c>
      <c r="H9" s="172">
        <f t="shared" ref="H9:H18" si="3">AA9-G9</f>
        <v>1876</v>
      </c>
      <c r="I9" s="173" t="s">
        <v>2640</v>
      </c>
      <c r="J9" s="174" t="s">
        <v>14</v>
      </c>
      <c r="K9" s="10" t="s">
        <v>4925</v>
      </c>
      <c r="L9" s="10" t="s">
        <v>4926</v>
      </c>
      <c r="M9" s="10"/>
      <c r="N9" s="171" t="s">
        <v>3913</v>
      </c>
      <c r="O9" s="171">
        <v>21</v>
      </c>
      <c r="P9" s="172">
        <f t="shared" ref="P9:P18" si="4">AA9-O9</f>
        <v>1880</v>
      </c>
      <c r="Q9" s="173" t="s">
        <v>2640</v>
      </c>
      <c r="R9" s="41" t="s">
        <v>14</v>
      </c>
      <c r="S9" s="233" t="s">
        <v>4308</v>
      </c>
      <c r="T9" s="41" t="s">
        <v>4256</v>
      </c>
      <c r="U9" s="234" t="s">
        <v>4309</v>
      </c>
      <c r="V9" s="5" t="s">
        <v>4927</v>
      </c>
      <c r="W9" s="5"/>
      <c r="X9" s="5" t="s">
        <v>56</v>
      </c>
      <c r="Y9" s="70" t="s">
        <v>4867</v>
      </c>
      <c r="Z9" s="5"/>
      <c r="AA9" s="178">
        <f t="shared" ref="AA9:AA18" si="5">IF(ISTEXT(B9),VALUE(RIGHT(B9,4)),YEAR(B9))</f>
        <v>1901</v>
      </c>
      <c r="AC9" s="31">
        <f>Брак_tb[[#This Row],[Возраст жениха]]-Брак_tb[[#This Row],[Возраст невесты]]</f>
        <v>4</v>
      </c>
    </row>
    <row r="10" spans="1:32">
      <c r="A10" s="170">
        <v>68</v>
      </c>
      <c r="B10" s="52">
        <v>635</v>
      </c>
      <c r="C10" s="5" t="s">
        <v>3925</v>
      </c>
      <c r="D10" s="5"/>
      <c r="E10" s="49"/>
      <c r="F10" s="171" t="s">
        <v>3913</v>
      </c>
      <c r="G10" s="171">
        <v>24</v>
      </c>
      <c r="H10" s="172">
        <f t="shared" si="3"/>
        <v>1877</v>
      </c>
      <c r="I10" s="173" t="s">
        <v>2640</v>
      </c>
      <c r="J10" s="174" t="s">
        <v>14</v>
      </c>
      <c r="K10" s="10" t="s">
        <v>4572</v>
      </c>
      <c r="L10" s="10" t="s">
        <v>4573</v>
      </c>
      <c r="M10" s="10"/>
      <c r="N10" s="171" t="s">
        <v>3913</v>
      </c>
      <c r="O10" s="171">
        <v>19</v>
      </c>
      <c r="P10" s="172">
        <f t="shared" si="4"/>
        <v>1882</v>
      </c>
      <c r="Q10" s="173" t="s">
        <v>2640</v>
      </c>
      <c r="R10" s="41" t="s">
        <v>14</v>
      </c>
      <c r="S10" s="41" t="s">
        <v>5092</v>
      </c>
      <c r="T10" s="41" t="s">
        <v>4771</v>
      </c>
      <c r="U10" s="5" t="s">
        <v>3926</v>
      </c>
      <c r="V10" s="5" t="s">
        <v>4574</v>
      </c>
      <c r="W10" s="5" t="s">
        <v>4772</v>
      </c>
      <c r="X10" s="5" t="s">
        <v>56</v>
      </c>
      <c r="Y10" s="70" t="s">
        <v>4867</v>
      </c>
      <c r="Z10" s="5" t="s">
        <v>3927</v>
      </c>
      <c r="AA10" s="178">
        <f t="shared" si="5"/>
        <v>1901</v>
      </c>
      <c r="AC10" s="31">
        <f>Брак_tb[[#This Row],[Возраст жениха]]-Брак_tb[[#This Row],[Возраст невесты]]</f>
        <v>5</v>
      </c>
    </row>
    <row r="11" spans="1:32">
      <c r="A11" s="170">
        <v>74</v>
      </c>
      <c r="B11" s="52">
        <v>408</v>
      </c>
      <c r="C11" s="5" t="s">
        <v>3928</v>
      </c>
      <c r="D11" s="5"/>
      <c r="E11" s="49"/>
      <c r="F11" s="171" t="s">
        <v>3913</v>
      </c>
      <c r="G11" s="171">
        <v>18</v>
      </c>
      <c r="H11" s="172">
        <f t="shared" si="3"/>
        <v>1883</v>
      </c>
      <c r="I11" s="173" t="s">
        <v>2640</v>
      </c>
      <c r="J11" s="174" t="s">
        <v>2431</v>
      </c>
      <c r="K11" s="10" t="s">
        <v>4300</v>
      </c>
      <c r="L11" s="10" t="s">
        <v>4301</v>
      </c>
      <c r="M11" s="10"/>
      <c r="N11" s="171" t="s">
        <v>3913</v>
      </c>
      <c r="O11" s="171">
        <v>22</v>
      </c>
      <c r="P11" s="172">
        <f t="shared" si="4"/>
        <v>1879</v>
      </c>
      <c r="Q11" s="173" t="s">
        <v>2640</v>
      </c>
      <c r="R11" s="41" t="s">
        <v>14</v>
      </c>
      <c r="S11" s="41" t="s">
        <v>3929</v>
      </c>
      <c r="T11" s="41" t="s">
        <v>3930</v>
      </c>
      <c r="U11" s="5" t="s">
        <v>3931</v>
      </c>
      <c r="V11" s="5" t="s">
        <v>3932</v>
      </c>
      <c r="W11" s="5"/>
      <c r="X11" s="5" t="s">
        <v>56</v>
      </c>
      <c r="Y11" s="70" t="s">
        <v>4867</v>
      </c>
      <c r="Z11" s="5" t="s">
        <v>3933</v>
      </c>
      <c r="AA11" s="178">
        <f t="shared" si="5"/>
        <v>1901</v>
      </c>
      <c r="AC11" s="31">
        <f>Брак_tb[[#This Row],[Возраст жениха]]-Брак_tb[[#This Row],[Возраст невесты]]</f>
        <v>-4</v>
      </c>
    </row>
    <row r="12" spans="1:32">
      <c r="A12" s="170">
        <v>1</v>
      </c>
      <c r="B12" s="52">
        <v>740</v>
      </c>
      <c r="C12" s="5" t="s">
        <v>4252</v>
      </c>
      <c r="D12" s="5" t="s">
        <v>4333</v>
      </c>
      <c r="E12" s="49"/>
      <c r="F12" s="171" t="s">
        <v>3913</v>
      </c>
      <c r="G12" s="171">
        <v>25</v>
      </c>
      <c r="H12" s="172">
        <f t="shared" si="3"/>
        <v>1877</v>
      </c>
      <c r="I12" s="173" t="s">
        <v>2640</v>
      </c>
      <c r="J12" s="174" t="s">
        <v>14</v>
      </c>
      <c r="K12" s="10" t="s">
        <v>3939</v>
      </c>
      <c r="L12" s="10" t="s">
        <v>3940</v>
      </c>
      <c r="M12" s="10"/>
      <c r="N12" s="171" t="s">
        <v>3913</v>
      </c>
      <c r="O12" s="171">
        <v>20</v>
      </c>
      <c r="P12" s="172">
        <f t="shared" si="4"/>
        <v>1882</v>
      </c>
      <c r="Q12" s="173" t="s">
        <v>2640</v>
      </c>
      <c r="R12" s="41" t="s">
        <v>14</v>
      </c>
      <c r="S12" s="41" t="s">
        <v>4288</v>
      </c>
      <c r="T12" s="41" t="s">
        <v>4263</v>
      </c>
      <c r="U12" s="5" t="s">
        <v>1306</v>
      </c>
      <c r="V12" s="5" t="s">
        <v>4334</v>
      </c>
      <c r="W12" s="5" t="s">
        <v>4335</v>
      </c>
      <c r="X12" s="5" t="s">
        <v>56</v>
      </c>
      <c r="Y12" s="70" t="s">
        <v>4867</v>
      </c>
      <c r="Z12" s="5" t="s">
        <v>3941</v>
      </c>
      <c r="AA12" s="178">
        <f t="shared" si="5"/>
        <v>1902</v>
      </c>
      <c r="AC12" s="31">
        <f>Брак_tb[[#This Row],[Возраст жениха]]-Брак_tb[[#This Row],[Возраст невесты]]</f>
        <v>5</v>
      </c>
    </row>
    <row r="13" spans="1:32">
      <c r="A13" s="170">
        <v>11</v>
      </c>
      <c r="B13" s="52">
        <v>1472</v>
      </c>
      <c r="C13" s="5" t="s">
        <v>4575</v>
      </c>
      <c r="D13" s="5" t="s">
        <v>4576</v>
      </c>
      <c r="E13" s="49"/>
      <c r="F13" s="171" t="s">
        <v>3913</v>
      </c>
      <c r="G13" s="171">
        <v>19</v>
      </c>
      <c r="H13" s="172">
        <f t="shared" si="3"/>
        <v>1885</v>
      </c>
      <c r="I13" s="173" t="s">
        <v>2640</v>
      </c>
      <c r="J13" s="174" t="s">
        <v>14</v>
      </c>
      <c r="K13" s="10" t="s">
        <v>3949</v>
      </c>
      <c r="L13" s="10" t="s">
        <v>3950</v>
      </c>
      <c r="M13" s="10"/>
      <c r="N13" s="171" t="s">
        <v>3913</v>
      </c>
      <c r="O13" s="171" t="s">
        <v>652</v>
      </c>
      <c r="P13" s="172" t="e">
        <f t="shared" si="4"/>
        <v>#VALUE!</v>
      </c>
      <c r="Q13" s="173" t="s">
        <v>2640</v>
      </c>
      <c r="R13" s="41" t="s">
        <v>3945</v>
      </c>
      <c r="S13" s="41" t="s">
        <v>3946</v>
      </c>
      <c r="T13" s="41" t="s">
        <v>3947</v>
      </c>
      <c r="U13" s="5" t="s">
        <v>3948</v>
      </c>
      <c r="V13" s="5"/>
      <c r="W13" s="5"/>
      <c r="X13" s="5" t="s">
        <v>56</v>
      </c>
      <c r="Y13" s="70" t="s">
        <v>4867</v>
      </c>
      <c r="Z13" s="5"/>
      <c r="AA13" s="178">
        <f t="shared" si="5"/>
        <v>1904</v>
      </c>
      <c r="AC13" s="31" t="e">
        <f>Брак_tb[[#This Row],[Возраст жениха]]-Брак_tb[[#This Row],[Возраст невесты]]</f>
        <v>#VALUE!</v>
      </c>
    </row>
    <row r="14" spans="1:32">
      <c r="A14" s="170">
        <v>23</v>
      </c>
      <c r="B14" s="52">
        <v>1477</v>
      </c>
      <c r="C14" s="264" t="s">
        <v>3951</v>
      </c>
      <c r="D14" s="5" t="s">
        <v>3952</v>
      </c>
      <c r="E14" s="49"/>
      <c r="F14" s="171" t="s">
        <v>3913</v>
      </c>
      <c r="G14" s="171">
        <v>19</v>
      </c>
      <c r="H14" s="172">
        <f t="shared" si="3"/>
        <v>1885</v>
      </c>
      <c r="I14" s="173" t="s">
        <v>2640</v>
      </c>
      <c r="J14" s="174" t="s">
        <v>2431</v>
      </c>
      <c r="K14" s="262" t="s">
        <v>4315</v>
      </c>
      <c r="L14" s="263" t="s">
        <v>4309</v>
      </c>
      <c r="M14" s="10"/>
      <c r="N14" s="171" t="s">
        <v>3913</v>
      </c>
      <c r="O14" s="171">
        <v>23</v>
      </c>
      <c r="P14" s="172">
        <f t="shared" si="4"/>
        <v>1881</v>
      </c>
      <c r="Q14" s="173" t="s">
        <v>2640</v>
      </c>
      <c r="R14" s="41" t="s">
        <v>14</v>
      </c>
      <c r="S14" s="41" t="s">
        <v>3953</v>
      </c>
      <c r="T14" s="41" t="s">
        <v>3954</v>
      </c>
      <c r="U14" s="234" t="s">
        <v>4308</v>
      </c>
      <c r="V14" s="5"/>
      <c r="W14" s="5"/>
      <c r="X14" s="5" t="s">
        <v>56</v>
      </c>
      <c r="Y14" s="70" t="s">
        <v>4867</v>
      </c>
      <c r="Z14" s="5" t="s">
        <v>3955</v>
      </c>
      <c r="AA14" s="178">
        <f t="shared" si="5"/>
        <v>1904</v>
      </c>
      <c r="AC14" s="31">
        <f>Брак_tb[[#This Row],[Возраст жениха]]-Брак_tb[[#This Row],[Возраст невесты]]</f>
        <v>-4</v>
      </c>
    </row>
    <row r="15" spans="1:32">
      <c r="A15" s="170">
        <v>39</v>
      </c>
      <c r="B15" s="52">
        <v>1480</v>
      </c>
      <c r="C15" s="5" t="s">
        <v>4726</v>
      </c>
      <c r="D15" s="5"/>
      <c r="E15" s="49"/>
      <c r="F15" s="171" t="s">
        <v>3913</v>
      </c>
      <c r="G15" s="171">
        <v>19</v>
      </c>
      <c r="H15" s="172">
        <f t="shared" si="3"/>
        <v>1885</v>
      </c>
      <c r="I15" s="173" t="s">
        <v>2640</v>
      </c>
      <c r="J15" s="174" t="s">
        <v>14</v>
      </c>
      <c r="K15" s="10" t="s">
        <v>4928</v>
      </c>
      <c r="L15" s="10" t="s">
        <v>4929</v>
      </c>
      <c r="M15" s="10"/>
      <c r="N15" s="171" t="s">
        <v>3913</v>
      </c>
      <c r="O15" s="171">
        <v>18</v>
      </c>
      <c r="P15" s="172">
        <f t="shared" si="4"/>
        <v>1886</v>
      </c>
      <c r="Q15" s="173" t="s">
        <v>2640</v>
      </c>
      <c r="R15" s="41" t="s">
        <v>2431</v>
      </c>
      <c r="S15" s="41" t="s">
        <v>3956</v>
      </c>
      <c r="T15" s="41" t="s">
        <v>4763</v>
      </c>
      <c r="U15" s="5" t="s">
        <v>3957</v>
      </c>
      <c r="V15" s="5"/>
      <c r="W15" s="5"/>
      <c r="X15" s="5" t="s">
        <v>56</v>
      </c>
      <c r="Y15" s="70" t="s">
        <v>4867</v>
      </c>
      <c r="Z15" s="5" t="s">
        <v>3958</v>
      </c>
      <c r="AA15" s="178">
        <f t="shared" si="5"/>
        <v>1904</v>
      </c>
      <c r="AC15" s="31">
        <f>Брак_tb[[#This Row],[Возраст жениха]]-Брак_tb[[#This Row],[Возраст невесты]]</f>
        <v>1</v>
      </c>
    </row>
    <row r="16" spans="1:32">
      <c r="A16" s="170">
        <v>41</v>
      </c>
      <c r="B16" s="52">
        <v>1480</v>
      </c>
      <c r="C16" s="5" t="s">
        <v>4577</v>
      </c>
      <c r="D16" s="5" t="s">
        <v>4578</v>
      </c>
      <c r="E16" s="49"/>
      <c r="F16" s="171" t="s">
        <v>3913</v>
      </c>
      <c r="G16" s="171">
        <v>19</v>
      </c>
      <c r="H16" s="172">
        <f t="shared" si="3"/>
        <v>1885</v>
      </c>
      <c r="I16" s="173" t="s">
        <v>2640</v>
      </c>
      <c r="J16" s="174" t="s">
        <v>14</v>
      </c>
      <c r="K16" s="10" t="s">
        <v>3960</v>
      </c>
      <c r="L16" s="10"/>
      <c r="M16" s="10"/>
      <c r="N16" s="171" t="s">
        <v>3913</v>
      </c>
      <c r="O16" s="171">
        <v>23</v>
      </c>
      <c r="P16" s="172">
        <f t="shared" si="4"/>
        <v>1881</v>
      </c>
      <c r="Q16" s="173" t="s">
        <v>2640</v>
      </c>
      <c r="R16" s="41" t="s">
        <v>2442</v>
      </c>
      <c r="S16" s="41" t="s">
        <v>4527</v>
      </c>
      <c r="T16" s="41" t="s">
        <v>4516</v>
      </c>
      <c r="U16" s="5" t="s">
        <v>2700</v>
      </c>
      <c r="V16" s="5" t="s">
        <v>3961</v>
      </c>
      <c r="W16" s="5"/>
      <c r="X16" s="5" t="s">
        <v>56</v>
      </c>
      <c r="Y16" s="70" t="s">
        <v>4867</v>
      </c>
      <c r="Z16" s="5" t="s">
        <v>3959</v>
      </c>
      <c r="AA16" s="178">
        <f t="shared" si="5"/>
        <v>1904</v>
      </c>
      <c r="AC16" s="31">
        <f>Брак_tb[[#This Row],[Возраст жениха]]-Брак_tb[[#This Row],[Возраст невесты]]</f>
        <v>-4</v>
      </c>
    </row>
    <row r="17" spans="1:29">
      <c r="A17" s="170">
        <v>50</v>
      </c>
      <c r="B17" s="52">
        <v>1484</v>
      </c>
      <c r="C17" s="5" t="s">
        <v>4336</v>
      </c>
      <c r="D17" s="5" t="s">
        <v>4337</v>
      </c>
      <c r="E17" s="49"/>
      <c r="F17" s="171" t="s">
        <v>3913</v>
      </c>
      <c r="G17" s="171">
        <v>19</v>
      </c>
      <c r="H17" s="172">
        <f t="shared" si="3"/>
        <v>1885</v>
      </c>
      <c r="I17" s="173" t="s">
        <v>2640</v>
      </c>
      <c r="J17" s="174" t="s">
        <v>14</v>
      </c>
      <c r="K17" s="10" t="s">
        <v>3962</v>
      </c>
      <c r="L17" s="10"/>
      <c r="M17" s="10"/>
      <c r="N17" s="171" t="s">
        <v>3913</v>
      </c>
      <c r="O17" s="171">
        <v>17</v>
      </c>
      <c r="P17" s="172">
        <f t="shared" si="4"/>
        <v>1887</v>
      </c>
      <c r="Q17" s="173" t="s">
        <v>2640</v>
      </c>
      <c r="R17" s="41" t="s">
        <v>3964</v>
      </c>
      <c r="S17" s="41" t="s">
        <v>4338</v>
      </c>
      <c r="T17" s="41" t="s">
        <v>3963</v>
      </c>
      <c r="U17" s="5" t="s">
        <v>3965</v>
      </c>
      <c r="V17" s="5" t="s">
        <v>3966</v>
      </c>
      <c r="W17" s="5"/>
      <c r="X17" s="5" t="s">
        <v>56</v>
      </c>
      <c r="Y17" s="70" t="s">
        <v>4867</v>
      </c>
      <c r="Z17" s="5" t="s">
        <v>3967</v>
      </c>
      <c r="AA17" s="178">
        <f t="shared" si="5"/>
        <v>1904</v>
      </c>
      <c r="AC17" s="31">
        <f>Брак_tb[[#This Row],[Возраст жениха]]-Брак_tb[[#This Row],[Возраст невесты]]</f>
        <v>2</v>
      </c>
    </row>
    <row r="18" spans="1:29">
      <c r="A18" s="170">
        <v>70</v>
      </c>
      <c r="B18" s="52">
        <v>1491</v>
      </c>
      <c r="C18" s="5" t="s">
        <v>3968</v>
      </c>
      <c r="D18" s="5" t="s">
        <v>3969</v>
      </c>
      <c r="E18" s="49"/>
      <c r="F18" s="171" t="s">
        <v>3913</v>
      </c>
      <c r="G18" s="171">
        <v>19</v>
      </c>
      <c r="H18" s="172">
        <f t="shared" si="3"/>
        <v>1885</v>
      </c>
      <c r="I18" s="173" t="s">
        <v>2640</v>
      </c>
      <c r="J18" s="174" t="s">
        <v>14</v>
      </c>
      <c r="K18" s="10" t="s">
        <v>4773</v>
      </c>
      <c r="L18" s="10" t="s">
        <v>4774</v>
      </c>
      <c r="M18" s="10"/>
      <c r="N18" s="171" t="s">
        <v>3913</v>
      </c>
      <c r="O18" s="171">
        <v>19</v>
      </c>
      <c r="P18" s="172">
        <f t="shared" si="4"/>
        <v>1885</v>
      </c>
      <c r="Q18" s="173" t="s">
        <v>2640</v>
      </c>
      <c r="R18" s="41" t="s">
        <v>14</v>
      </c>
      <c r="S18" s="41" t="s">
        <v>3970</v>
      </c>
      <c r="T18" s="41" t="s">
        <v>3971</v>
      </c>
      <c r="U18" s="5" t="s">
        <v>4775</v>
      </c>
      <c r="V18" s="5" t="s">
        <v>3972</v>
      </c>
      <c r="W18" s="5"/>
      <c r="X18" s="5" t="s">
        <v>56</v>
      </c>
      <c r="Y18" s="70" t="s">
        <v>4867</v>
      </c>
      <c r="Z18" s="192">
        <v>496007</v>
      </c>
      <c r="AA18" s="178">
        <f t="shared" si="5"/>
        <v>1904</v>
      </c>
      <c r="AC18" s="31">
        <f>Брак_tb[[#This Row],[Возраст жениха]]-Брак_tb[[#This Row],[Возраст невесты]]</f>
        <v>0</v>
      </c>
    </row>
    <row r="19" spans="1:29">
      <c r="A19" s="170">
        <v>82</v>
      </c>
      <c r="B19" s="52">
        <v>1757</v>
      </c>
      <c r="C19" s="5" t="s">
        <v>5088</v>
      </c>
      <c r="D19" s="5" t="s">
        <v>5093</v>
      </c>
      <c r="E19" s="49"/>
      <c r="F19" s="171" t="s">
        <v>3913</v>
      </c>
      <c r="G19" s="171">
        <v>19</v>
      </c>
      <c r="H19" s="172">
        <f t="shared" ref="H19:H26" si="6">AA19-G19</f>
        <v>1885</v>
      </c>
      <c r="I19" s="173" t="s">
        <v>2640</v>
      </c>
      <c r="J19" s="174" t="s">
        <v>14</v>
      </c>
      <c r="K19" s="10" t="s">
        <v>4339</v>
      </c>
      <c r="L19" s="10" t="s">
        <v>4340</v>
      </c>
      <c r="M19" s="10"/>
      <c r="N19" s="171" t="s">
        <v>3913</v>
      </c>
      <c r="O19" s="171">
        <v>16</v>
      </c>
      <c r="P19" s="172">
        <f t="shared" ref="P19:P26" si="7">AA19-O19</f>
        <v>1888</v>
      </c>
      <c r="Q19" s="173" t="s">
        <v>2640</v>
      </c>
      <c r="R19" s="41" t="s">
        <v>14</v>
      </c>
      <c r="S19" s="41" t="s">
        <v>3973</v>
      </c>
      <c r="T19" s="41" t="s">
        <v>3974</v>
      </c>
      <c r="U19" s="5" t="s">
        <v>4022</v>
      </c>
      <c r="V19" s="5" t="s">
        <v>3975</v>
      </c>
      <c r="W19" s="5"/>
      <c r="X19" s="5" t="s">
        <v>56</v>
      </c>
      <c r="Y19" s="70" t="s">
        <v>4867</v>
      </c>
      <c r="Z19" s="5" t="s">
        <v>3976</v>
      </c>
      <c r="AA19" s="178">
        <f t="shared" ref="AA19:AA26" si="8">IF(ISTEXT(B19),VALUE(RIGHT(B19,4)),YEAR(B19))</f>
        <v>1904</v>
      </c>
      <c r="AC19" s="31">
        <f>Брак_tb[[#This Row],[Возраст жениха]]-Брак_tb[[#This Row],[Возраст невесты]]</f>
        <v>3</v>
      </c>
    </row>
    <row r="20" spans="1:29">
      <c r="A20" s="170">
        <v>88</v>
      </c>
      <c r="B20" s="52">
        <v>1774</v>
      </c>
      <c r="C20" s="5" t="s">
        <v>4334</v>
      </c>
      <c r="D20" s="5" t="s">
        <v>4341</v>
      </c>
      <c r="E20" s="49"/>
      <c r="F20" s="171" t="s">
        <v>3979</v>
      </c>
      <c r="G20" s="171">
        <v>48</v>
      </c>
      <c r="H20" s="172">
        <f t="shared" si="6"/>
        <v>1856</v>
      </c>
      <c r="I20" s="173" t="s">
        <v>2640</v>
      </c>
      <c r="J20" s="174" t="s">
        <v>14</v>
      </c>
      <c r="K20" s="10" t="s">
        <v>3977</v>
      </c>
      <c r="L20" s="10"/>
      <c r="M20" s="10"/>
      <c r="N20" s="171" t="s">
        <v>3913</v>
      </c>
      <c r="O20" s="171">
        <v>29</v>
      </c>
      <c r="P20" s="172">
        <f t="shared" si="7"/>
        <v>1875</v>
      </c>
      <c r="Q20" s="173" t="s">
        <v>2640</v>
      </c>
      <c r="R20" s="41" t="s">
        <v>2432</v>
      </c>
      <c r="S20" s="41" t="s">
        <v>4263</v>
      </c>
      <c r="T20" s="41" t="s">
        <v>4263</v>
      </c>
      <c r="U20" s="5" t="s">
        <v>4742</v>
      </c>
      <c r="V20" s="5" t="s">
        <v>3965</v>
      </c>
      <c r="W20" s="5" t="s">
        <v>4342</v>
      </c>
      <c r="X20" s="5" t="s">
        <v>56</v>
      </c>
      <c r="Y20" s="70" t="s">
        <v>4867</v>
      </c>
      <c r="Z20" s="5" t="s">
        <v>3978</v>
      </c>
      <c r="AA20" s="178">
        <f t="shared" si="8"/>
        <v>1904</v>
      </c>
      <c r="AC20" s="31">
        <f>Брак_tb[[#This Row],[Возраст жениха]]-Брак_tb[[#This Row],[Возраст невесты]]</f>
        <v>19</v>
      </c>
    </row>
    <row r="21" spans="1:29">
      <c r="A21" s="170">
        <v>89</v>
      </c>
      <c r="B21" s="52">
        <v>1776</v>
      </c>
      <c r="C21" s="5" t="s">
        <v>3980</v>
      </c>
      <c r="D21" s="5"/>
      <c r="E21" s="49"/>
      <c r="F21" s="171" t="s">
        <v>3913</v>
      </c>
      <c r="G21" s="171">
        <v>20</v>
      </c>
      <c r="H21" s="172">
        <f t="shared" si="6"/>
        <v>1884</v>
      </c>
      <c r="I21" s="173" t="s">
        <v>2640</v>
      </c>
      <c r="J21" s="174" t="s">
        <v>3914</v>
      </c>
      <c r="K21" s="10" t="s">
        <v>4343</v>
      </c>
      <c r="L21" s="10" t="s">
        <v>4318</v>
      </c>
      <c r="M21" s="10" t="s">
        <v>3981</v>
      </c>
      <c r="N21" s="171" t="s">
        <v>3913</v>
      </c>
      <c r="O21" s="171">
        <v>16</v>
      </c>
      <c r="P21" s="172">
        <f t="shared" si="7"/>
        <v>1888</v>
      </c>
      <c r="Q21" s="173" t="s">
        <v>2640</v>
      </c>
      <c r="R21" s="41" t="s">
        <v>14</v>
      </c>
      <c r="S21" s="41" t="s">
        <v>3984</v>
      </c>
      <c r="T21" s="41" t="s">
        <v>3985</v>
      </c>
      <c r="U21" s="5" t="s">
        <v>4272</v>
      </c>
      <c r="V21" s="5" t="s">
        <v>2221</v>
      </c>
      <c r="W21" s="5"/>
      <c r="X21" s="5" t="s">
        <v>56</v>
      </c>
      <c r="Y21" s="70" t="s">
        <v>4867</v>
      </c>
      <c r="Z21" s="5" t="s">
        <v>3978</v>
      </c>
      <c r="AA21" s="178">
        <f t="shared" si="8"/>
        <v>1904</v>
      </c>
      <c r="AC21" s="31">
        <f>Брак_tb[[#This Row],[Возраст жениха]]-Брак_tb[[#This Row],[Возраст невесты]]</f>
        <v>4</v>
      </c>
    </row>
    <row r="22" spans="1:29">
      <c r="A22" s="170">
        <v>4</v>
      </c>
      <c r="B22" s="52">
        <v>1843</v>
      </c>
      <c r="C22" s="5" t="s">
        <v>4579</v>
      </c>
      <c r="D22" s="5" t="s">
        <v>4580</v>
      </c>
      <c r="E22" s="49" t="s">
        <v>3990</v>
      </c>
      <c r="F22" s="171" t="s">
        <v>3913</v>
      </c>
      <c r="G22" s="171">
        <v>30</v>
      </c>
      <c r="H22" s="172">
        <f t="shared" si="6"/>
        <v>1875</v>
      </c>
      <c r="I22" s="173" t="s">
        <v>2640</v>
      </c>
      <c r="J22" s="174" t="s">
        <v>14</v>
      </c>
      <c r="K22" s="10" t="s">
        <v>3991</v>
      </c>
      <c r="L22" s="10"/>
      <c r="M22" s="10"/>
      <c r="N22" s="171" t="s">
        <v>3913</v>
      </c>
      <c r="O22" s="171">
        <v>25</v>
      </c>
      <c r="P22" s="172">
        <f t="shared" si="7"/>
        <v>1880</v>
      </c>
      <c r="Q22" s="173" t="s">
        <v>2640</v>
      </c>
      <c r="R22" s="41" t="s">
        <v>3992</v>
      </c>
      <c r="S22" s="41" t="s">
        <v>1996</v>
      </c>
      <c r="T22" s="41" t="s">
        <v>4581</v>
      </c>
      <c r="U22" s="5" t="s">
        <v>3993</v>
      </c>
      <c r="V22" s="5" t="s">
        <v>226</v>
      </c>
      <c r="W22" s="5" t="s">
        <v>4582</v>
      </c>
      <c r="X22" s="5" t="s">
        <v>56</v>
      </c>
      <c r="Y22" s="70" t="s">
        <v>4867</v>
      </c>
      <c r="Z22" s="5" t="s">
        <v>3994</v>
      </c>
      <c r="AA22" s="178">
        <f t="shared" si="8"/>
        <v>1905</v>
      </c>
      <c r="AC22" s="31">
        <f>Брак_tb[[#This Row],[Возраст жениха]]-Брак_tb[[#This Row],[Возраст невесты]]</f>
        <v>5</v>
      </c>
    </row>
    <row r="23" spans="1:29">
      <c r="A23" s="170">
        <v>21</v>
      </c>
      <c r="B23" s="52">
        <v>1853</v>
      </c>
      <c r="C23" s="5" t="s">
        <v>4870</v>
      </c>
      <c r="D23" s="5"/>
      <c r="E23" s="49"/>
      <c r="F23" s="171" t="s">
        <v>3913</v>
      </c>
      <c r="G23" s="171">
        <v>19</v>
      </c>
      <c r="H23" s="172">
        <f t="shared" si="6"/>
        <v>1886</v>
      </c>
      <c r="I23" s="173" t="s">
        <v>2640</v>
      </c>
      <c r="J23" s="174" t="s">
        <v>14</v>
      </c>
      <c r="K23" s="10" t="s">
        <v>3995</v>
      </c>
      <c r="L23" s="10"/>
      <c r="M23" s="10"/>
      <c r="N23" s="171" t="s">
        <v>3913</v>
      </c>
      <c r="O23" s="171">
        <v>20</v>
      </c>
      <c r="P23" s="172">
        <f t="shared" si="7"/>
        <v>1885</v>
      </c>
      <c r="Q23" s="173" t="s">
        <v>2640</v>
      </c>
      <c r="R23" s="41" t="s">
        <v>3996</v>
      </c>
      <c r="S23" s="41" t="s">
        <v>4871</v>
      </c>
      <c r="T23" s="41" t="s">
        <v>4872</v>
      </c>
      <c r="U23" s="5" t="s">
        <v>3997</v>
      </c>
      <c r="V23" s="5" t="s">
        <v>3998</v>
      </c>
      <c r="W23" s="5"/>
      <c r="X23" s="5" t="s">
        <v>56</v>
      </c>
      <c r="Y23" s="70" t="s">
        <v>4867</v>
      </c>
      <c r="Z23" s="5" t="s">
        <v>3999</v>
      </c>
      <c r="AA23" s="178">
        <f t="shared" si="8"/>
        <v>1905</v>
      </c>
      <c r="AC23" s="31">
        <f>Брак_tb[[#This Row],[Возраст жениха]]-Брак_tb[[#This Row],[Возраст невесты]]</f>
        <v>-1</v>
      </c>
    </row>
    <row r="24" spans="1:29">
      <c r="A24" s="170">
        <v>31</v>
      </c>
      <c r="B24" s="52">
        <v>1857</v>
      </c>
      <c r="C24" s="5" t="s">
        <v>2683</v>
      </c>
      <c r="D24" s="5"/>
      <c r="E24" s="49"/>
      <c r="F24" s="171" t="s">
        <v>3913</v>
      </c>
      <c r="G24" s="171">
        <v>23</v>
      </c>
      <c r="H24" s="172">
        <f t="shared" si="6"/>
        <v>1882</v>
      </c>
      <c r="I24" s="173" t="s">
        <v>2640</v>
      </c>
      <c r="J24" s="174" t="s">
        <v>14</v>
      </c>
      <c r="K24" s="10" t="s">
        <v>4344</v>
      </c>
      <c r="L24" s="10"/>
      <c r="M24" s="10"/>
      <c r="N24" s="171" t="s">
        <v>3913</v>
      </c>
      <c r="O24" s="171">
        <v>18</v>
      </c>
      <c r="P24" s="172">
        <f t="shared" si="7"/>
        <v>1887</v>
      </c>
      <c r="Q24" s="173" t="s">
        <v>2640</v>
      </c>
      <c r="R24" s="41" t="s">
        <v>14</v>
      </c>
      <c r="S24" s="41" t="s">
        <v>4000</v>
      </c>
      <c r="T24" s="41" t="s">
        <v>4001</v>
      </c>
      <c r="U24" s="5" t="s">
        <v>4345</v>
      </c>
      <c r="V24" s="5" t="s">
        <v>4256</v>
      </c>
      <c r="W24" s="5"/>
      <c r="X24" s="5" t="s">
        <v>56</v>
      </c>
      <c r="Y24" s="70" t="s">
        <v>4867</v>
      </c>
      <c r="Z24" s="5" t="s">
        <v>4002</v>
      </c>
      <c r="AA24" s="178">
        <f t="shared" si="8"/>
        <v>1905</v>
      </c>
      <c r="AC24" s="31">
        <f>Брак_tb[[#This Row],[Возраст жениха]]-Брак_tb[[#This Row],[Возраст невесты]]</f>
        <v>5</v>
      </c>
    </row>
    <row r="25" spans="1:29">
      <c r="A25" s="170">
        <v>32</v>
      </c>
      <c r="B25" s="52">
        <v>1857</v>
      </c>
      <c r="C25" s="264" t="s">
        <v>4003</v>
      </c>
      <c r="D25" s="5"/>
      <c r="E25" s="49"/>
      <c r="F25" s="171" t="s">
        <v>3913</v>
      </c>
      <c r="G25" s="171">
        <v>20</v>
      </c>
      <c r="H25" s="172">
        <f t="shared" si="6"/>
        <v>1885</v>
      </c>
      <c r="I25" s="173" t="s">
        <v>2640</v>
      </c>
      <c r="J25" s="174" t="s">
        <v>3914</v>
      </c>
      <c r="K25" s="262" t="s">
        <v>4776</v>
      </c>
      <c r="L25" s="262" t="s">
        <v>4777</v>
      </c>
      <c r="M25" s="10"/>
      <c r="N25" s="171" t="s">
        <v>3913</v>
      </c>
      <c r="O25" s="171">
        <v>17</v>
      </c>
      <c r="P25" s="172">
        <f t="shared" si="7"/>
        <v>1888</v>
      </c>
      <c r="Q25" s="173" t="s">
        <v>2640</v>
      </c>
      <c r="R25" s="41" t="s">
        <v>14</v>
      </c>
      <c r="S25" s="41" t="s">
        <v>4004</v>
      </c>
      <c r="T25" s="41" t="s">
        <v>4005</v>
      </c>
      <c r="U25" s="5" t="s">
        <v>5094</v>
      </c>
      <c r="V25" s="5" t="s">
        <v>4006</v>
      </c>
      <c r="W25" s="5"/>
      <c r="X25" s="5" t="s">
        <v>18</v>
      </c>
      <c r="Y25" s="70" t="s">
        <v>4867</v>
      </c>
      <c r="Z25" s="5" t="s">
        <v>4002</v>
      </c>
      <c r="AA25" s="178">
        <f t="shared" si="8"/>
        <v>1905</v>
      </c>
      <c r="AC25" s="31">
        <f>Брак_tb[[#This Row],[Возраст жениха]]-Брак_tb[[#This Row],[Возраст невесты]]</f>
        <v>3</v>
      </c>
    </row>
    <row r="26" spans="1:29">
      <c r="A26" s="170">
        <v>34</v>
      </c>
      <c r="B26" s="52">
        <v>1858</v>
      </c>
      <c r="C26" s="5" t="s">
        <v>4346</v>
      </c>
      <c r="D26" s="5"/>
      <c r="E26" s="49"/>
      <c r="F26" s="171" t="s">
        <v>3913</v>
      </c>
      <c r="G26" s="171">
        <v>19</v>
      </c>
      <c r="H26" s="172">
        <f t="shared" si="6"/>
        <v>1886</v>
      </c>
      <c r="I26" s="173" t="s">
        <v>2640</v>
      </c>
      <c r="J26" s="174" t="s">
        <v>14</v>
      </c>
      <c r="K26" s="10" t="s">
        <v>4007</v>
      </c>
      <c r="L26" s="10"/>
      <c r="M26" s="10"/>
      <c r="N26" s="171" t="s">
        <v>3913</v>
      </c>
      <c r="O26" s="171">
        <v>16</v>
      </c>
      <c r="P26" s="172">
        <f t="shared" si="7"/>
        <v>1889</v>
      </c>
      <c r="Q26" s="173" t="s">
        <v>2640</v>
      </c>
      <c r="R26" s="174" t="s">
        <v>3914</v>
      </c>
      <c r="S26" s="41" t="s">
        <v>4234</v>
      </c>
      <c r="T26" s="41" t="s">
        <v>1407</v>
      </c>
      <c r="U26" s="5" t="s">
        <v>4347</v>
      </c>
      <c r="V26" s="5" t="s">
        <v>4008</v>
      </c>
      <c r="W26" s="5"/>
      <c r="X26" s="5" t="s">
        <v>56</v>
      </c>
      <c r="Y26" s="70" t="s">
        <v>4867</v>
      </c>
      <c r="Z26" s="5" t="s">
        <v>4009</v>
      </c>
      <c r="AA26" s="178">
        <f t="shared" si="8"/>
        <v>1905</v>
      </c>
      <c r="AC26" s="31">
        <f>Брак_tb[[#This Row],[Возраст жениха]]-Брак_tb[[#This Row],[Возраст невесты]]</f>
        <v>3</v>
      </c>
    </row>
    <row r="27" spans="1:29">
      <c r="A27" s="170">
        <v>35</v>
      </c>
      <c r="B27" s="52">
        <v>1858</v>
      </c>
      <c r="C27" s="5" t="s">
        <v>4010</v>
      </c>
      <c r="D27" s="5"/>
      <c r="E27" s="49"/>
      <c r="F27" s="171" t="s">
        <v>3913</v>
      </c>
      <c r="G27" s="171">
        <v>19</v>
      </c>
      <c r="H27" s="172">
        <f t="shared" ref="H27:H32" si="9">AA27-G27</f>
        <v>1886</v>
      </c>
      <c r="I27" s="173" t="s">
        <v>2640</v>
      </c>
      <c r="J27" s="174" t="s">
        <v>14</v>
      </c>
      <c r="K27" s="10" t="s">
        <v>4583</v>
      </c>
      <c r="L27" s="10" t="s">
        <v>4584</v>
      </c>
      <c r="M27" s="10"/>
      <c r="N27" s="171" t="s">
        <v>3913</v>
      </c>
      <c r="O27" s="171">
        <v>22</v>
      </c>
      <c r="P27" s="172">
        <f t="shared" ref="P27:P32" si="10">AA27-O27</f>
        <v>1883</v>
      </c>
      <c r="Q27" s="173" t="s">
        <v>2640</v>
      </c>
      <c r="R27" s="41" t="s">
        <v>2431</v>
      </c>
      <c r="S27" s="41" t="s">
        <v>4930</v>
      </c>
      <c r="T27" s="41" t="s">
        <v>4011</v>
      </c>
      <c r="U27" s="5" t="s">
        <v>4585</v>
      </c>
      <c r="V27" s="5" t="s">
        <v>4931</v>
      </c>
      <c r="W27" s="5"/>
      <c r="X27" s="5" t="s">
        <v>56</v>
      </c>
      <c r="Y27" s="70" t="s">
        <v>4867</v>
      </c>
      <c r="Z27" s="5"/>
      <c r="AA27" s="178">
        <f t="shared" ref="AA27:AA32" si="11">IF(ISTEXT(B27),VALUE(RIGHT(B27,4)),YEAR(B27))</f>
        <v>1905</v>
      </c>
      <c r="AC27" s="31">
        <f>Брак_tb[[#This Row],[Возраст жениха]]-Брак_tb[[#This Row],[Возраст невесты]]</f>
        <v>-3</v>
      </c>
    </row>
    <row r="28" spans="1:29">
      <c r="A28" s="170">
        <v>38</v>
      </c>
      <c r="B28" s="52">
        <v>1858</v>
      </c>
      <c r="C28" s="5" t="s">
        <v>1241</v>
      </c>
      <c r="D28" s="5"/>
      <c r="E28" s="49"/>
      <c r="F28" s="171" t="s">
        <v>3913</v>
      </c>
      <c r="G28" s="171">
        <v>18</v>
      </c>
      <c r="H28" s="172">
        <f t="shared" si="9"/>
        <v>1887</v>
      </c>
      <c r="I28" s="173" t="s">
        <v>2640</v>
      </c>
      <c r="J28" s="174" t="s">
        <v>14</v>
      </c>
      <c r="K28" s="10" t="s">
        <v>4778</v>
      </c>
      <c r="L28" s="10" t="s">
        <v>4779</v>
      </c>
      <c r="M28" s="10"/>
      <c r="N28" s="171" t="s">
        <v>3913</v>
      </c>
      <c r="O28" s="171">
        <v>20</v>
      </c>
      <c r="P28" s="172">
        <f t="shared" si="10"/>
        <v>1885</v>
      </c>
      <c r="Q28" s="173" t="s">
        <v>2640</v>
      </c>
      <c r="R28" s="41" t="s">
        <v>14</v>
      </c>
      <c r="S28" s="41" t="s">
        <v>4012</v>
      </c>
      <c r="T28" s="41" t="s">
        <v>3998</v>
      </c>
      <c r="U28" s="5" t="s">
        <v>4780</v>
      </c>
      <c r="V28" s="5" t="s">
        <v>4533</v>
      </c>
      <c r="W28" s="5"/>
      <c r="X28" s="5" t="s">
        <v>56</v>
      </c>
      <c r="Y28" s="70" t="s">
        <v>4867</v>
      </c>
      <c r="Z28" s="5" t="s">
        <v>4013</v>
      </c>
      <c r="AA28" s="178">
        <f t="shared" si="11"/>
        <v>1905</v>
      </c>
      <c r="AC28" s="31">
        <f>Брак_tb[[#This Row],[Возраст жениха]]-Брак_tb[[#This Row],[Возраст невесты]]</f>
        <v>-2</v>
      </c>
    </row>
    <row r="29" spans="1:29">
      <c r="A29" s="170">
        <v>44</v>
      </c>
      <c r="B29" s="52">
        <v>1864</v>
      </c>
      <c r="C29" s="5" t="s">
        <v>4586</v>
      </c>
      <c r="D29" s="5" t="s">
        <v>4587</v>
      </c>
      <c r="E29" s="49"/>
      <c r="F29" s="171" t="s">
        <v>3913</v>
      </c>
      <c r="G29" s="171">
        <v>19</v>
      </c>
      <c r="H29" s="172">
        <f t="shared" si="9"/>
        <v>1886</v>
      </c>
      <c r="I29" s="173" t="s">
        <v>2640</v>
      </c>
      <c r="J29" s="174" t="s">
        <v>14</v>
      </c>
      <c r="K29" s="10" t="s">
        <v>4932</v>
      </c>
      <c r="L29" s="10"/>
      <c r="M29" s="10"/>
      <c r="N29" s="171" t="s">
        <v>3913</v>
      </c>
      <c r="O29" s="171">
        <v>19</v>
      </c>
      <c r="P29" s="172">
        <f t="shared" si="10"/>
        <v>1886</v>
      </c>
      <c r="Q29" s="173" t="s">
        <v>2640</v>
      </c>
      <c r="R29" s="41" t="s">
        <v>3914</v>
      </c>
      <c r="S29" s="41" t="s">
        <v>4588</v>
      </c>
      <c r="T29" s="41" t="s">
        <v>4575</v>
      </c>
      <c r="U29" s="5" t="s">
        <v>4014</v>
      </c>
      <c r="V29" s="5" t="s">
        <v>4933</v>
      </c>
      <c r="W29" s="5" t="s">
        <v>4589</v>
      </c>
      <c r="X29" s="5" t="s">
        <v>56</v>
      </c>
      <c r="Y29" s="70" t="s">
        <v>4867</v>
      </c>
      <c r="Z29" s="5" t="s">
        <v>4015</v>
      </c>
      <c r="AA29" s="178">
        <f t="shared" si="11"/>
        <v>1905</v>
      </c>
      <c r="AC29" s="31">
        <f>Брак_tb[[#This Row],[Возраст жениха]]-Брак_tb[[#This Row],[Возраст невесты]]</f>
        <v>0</v>
      </c>
    </row>
    <row r="30" spans="1:29">
      <c r="A30" s="170">
        <v>59</v>
      </c>
      <c r="B30" s="52">
        <v>1872</v>
      </c>
      <c r="C30" s="5" t="s">
        <v>4258</v>
      </c>
      <c r="D30" s="5" t="s">
        <v>4348</v>
      </c>
      <c r="E30" s="49"/>
      <c r="F30" s="171" t="s">
        <v>3913</v>
      </c>
      <c r="G30" s="171">
        <v>19</v>
      </c>
      <c r="H30" s="172">
        <f t="shared" si="9"/>
        <v>1886</v>
      </c>
      <c r="I30" s="173" t="s">
        <v>2640</v>
      </c>
      <c r="J30" s="174" t="s">
        <v>14</v>
      </c>
      <c r="K30" s="10" t="s">
        <v>4016</v>
      </c>
      <c r="L30" s="10"/>
      <c r="M30" s="10"/>
      <c r="N30" s="171" t="s">
        <v>3913</v>
      </c>
      <c r="O30" s="171">
        <v>19</v>
      </c>
      <c r="P30" s="172">
        <f t="shared" si="10"/>
        <v>1886</v>
      </c>
      <c r="Q30" s="173" t="s">
        <v>2640</v>
      </c>
      <c r="R30" s="41" t="s">
        <v>14</v>
      </c>
      <c r="S30" s="41" t="s">
        <v>4311</v>
      </c>
      <c r="T30" s="41" t="s">
        <v>2225</v>
      </c>
      <c r="U30" s="5" t="s">
        <v>4017</v>
      </c>
      <c r="V30" s="5" t="s">
        <v>2221</v>
      </c>
      <c r="W30" s="5"/>
      <c r="X30" s="5" t="s">
        <v>56</v>
      </c>
      <c r="Y30" s="70" t="s">
        <v>4867</v>
      </c>
      <c r="Z30" s="5" t="s">
        <v>4018</v>
      </c>
      <c r="AA30" s="178">
        <f t="shared" si="11"/>
        <v>1905</v>
      </c>
      <c r="AC30" s="31">
        <f>Брак_tb[[#This Row],[Возраст жениха]]-Брак_tb[[#This Row],[Возраст невесты]]</f>
        <v>0</v>
      </c>
    </row>
    <row r="31" spans="1:29">
      <c r="A31" s="170">
        <v>81</v>
      </c>
      <c r="B31" s="52">
        <v>2137</v>
      </c>
      <c r="C31" s="5" t="s">
        <v>4019</v>
      </c>
      <c r="D31" s="5"/>
      <c r="E31" s="49"/>
      <c r="F31" s="171" t="s">
        <v>3913</v>
      </c>
      <c r="G31" s="171">
        <v>19</v>
      </c>
      <c r="H31" s="172">
        <f t="shared" si="9"/>
        <v>1886</v>
      </c>
      <c r="I31" s="173" t="s">
        <v>2640</v>
      </c>
      <c r="J31" s="174" t="s">
        <v>2432</v>
      </c>
      <c r="K31" s="10" t="s">
        <v>4590</v>
      </c>
      <c r="L31" s="10"/>
      <c r="M31" s="10"/>
      <c r="N31" s="171" t="s">
        <v>3913</v>
      </c>
      <c r="O31" s="171">
        <v>18</v>
      </c>
      <c r="P31" s="172">
        <f t="shared" si="10"/>
        <v>1887</v>
      </c>
      <c r="Q31" s="173" t="s">
        <v>2640</v>
      </c>
      <c r="R31" s="41" t="s">
        <v>2431</v>
      </c>
      <c r="S31" s="41" t="s">
        <v>4020</v>
      </c>
      <c r="T31" s="41" t="s">
        <v>4021</v>
      </c>
      <c r="U31" s="5" t="s">
        <v>4023</v>
      </c>
      <c r="V31" s="5" t="s">
        <v>4024</v>
      </c>
      <c r="W31" s="5"/>
      <c r="X31" s="5" t="s">
        <v>56</v>
      </c>
      <c r="Y31" s="70" t="s">
        <v>4867</v>
      </c>
      <c r="Z31" s="5" t="s">
        <v>4025</v>
      </c>
      <c r="AA31" s="178">
        <f t="shared" si="11"/>
        <v>1905</v>
      </c>
      <c r="AC31" s="31">
        <f>Брак_tb[[#This Row],[Возраст жениха]]-Брак_tb[[#This Row],[Возраст невесты]]</f>
        <v>1</v>
      </c>
    </row>
    <row r="32" spans="1:29">
      <c r="A32" s="170">
        <v>82</v>
      </c>
      <c r="B32" s="52">
        <v>2140</v>
      </c>
      <c r="C32" s="5" t="s">
        <v>4728</v>
      </c>
      <c r="D32" s="5"/>
      <c r="E32" s="49"/>
      <c r="F32" s="171" t="s">
        <v>3913</v>
      </c>
      <c r="G32" s="171">
        <v>18</v>
      </c>
      <c r="H32" s="172">
        <f t="shared" si="9"/>
        <v>1887</v>
      </c>
      <c r="I32" s="173" t="s">
        <v>2640</v>
      </c>
      <c r="J32" s="174" t="s">
        <v>14</v>
      </c>
      <c r="K32" s="10" t="s">
        <v>4026</v>
      </c>
      <c r="L32" s="10"/>
      <c r="M32" s="10"/>
      <c r="N32" s="171" t="s">
        <v>3913</v>
      </c>
      <c r="O32" s="171">
        <v>19</v>
      </c>
      <c r="P32" s="172">
        <f t="shared" si="10"/>
        <v>1886</v>
      </c>
      <c r="Q32" s="173" t="s">
        <v>2640</v>
      </c>
      <c r="R32" s="41" t="s">
        <v>4027</v>
      </c>
      <c r="S32" s="41" t="s">
        <v>4028</v>
      </c>
      <c r="T32" s="41" t="s">
        <v>4748</v>
      </c>
      <c r="U32" s="5" t="s">
        <v>4029</v>
      </c>
      <c r="V32" s="5" t="s">
        <v>4349</v>
      </c>
      <c r="W32" s="5"/>
      <c r="X32" s="5" t="s">
        <v>56</v>
      </c>
      <c r="Y32" s="70" t="s">
        <v>4867</v>
      </c>
      <c r="Z32" s="5" t="s">
        <v>4030</v>
      </c>
      <c r="AA32" s="178">
        <f t="shared" si="11"/>
        <v>1905</v>
      </c>
      <c r="AC32" s="31">
        <f>Брак_tb[[#This Row],[Возраст жениха]]-Брак_tb[[#This Row],[Возраст невесты]]</f>
        <v>-1</v>
      </c>
    </row>
    <row r="33" spans="1:29">
      <c r="A33" s="170">
        <v>83</v>
      </c>
      <c r="B33" s="52">
        <v>2140</v>
      </c>
      <c r="C33" s="5" t="s">
        <v>4286</v>
      </c>
      <c r="D33" s="5" t="s">
        <v>4350</v>
      </c>
      <c r="E33" s="49"/>
      <c r="F33" s="171" t="s">
        <v>3913</v>
      </c>
      <c r="G33" s="171">
        <v>21</v>
      </c>
      <c r="H33" s="172">
        <f t="shared" ref="H33:H38" si="12">AA33-G33</f>
        <v>1884</v>
      </c>
      <c r="I33" s="173" t="s">
        <v>2640</v>
      </c>
      <c r="J33" s="174" t="s">
        <v>14</v>
      </c>
      <c r="K33" s="10" t="s">
        <v>4032</v>
      </c>
      <c r="L33" s="10"/>
      <c r="M33" s="10"/>
      <c r="N33" s="171" t="s">
        <v>3913</v>
      </c>
      <c r="O33" s="171">
        <v>21</v>
      </c>
      <c r="P33" s="172">
        <f t="shared" ref="P33:P38" si="13">AA33-O33</f>
        <v>1884</v>
      </c>
      <c r="Q33" s="173" t="s">
        <v>2640</v>
      </c>
      <c r="R33" s="41" t="s">
        <v>2534</v>
      </c>
      <c r="S33" s="41" t="s">
        <v>4031</v>
      </c>
      <c r="T33" s="41" t="s">
        <v>4934</v>
      </c>
      <c r="U33" s="5" t="s">
        <v>4033</v>
      </c>
      <c r="V33" s="5" t="s">
        <v>4034</v>
      </c>
      <c r="W33" s="5"/>
      <c r="X33" s="5" t="s">
        <v>56</v>
      </c>
      <c r="Y33" s="70" t="s">
        <v>4867</v>
      </c>
      <c r="Z33" s="5" t="s">
        <v>4035</v>
      </c>
      <c r="AA33" s="178">
        <f t="shared" ref="AA33:AA38" si="14">IF(ISTEXT(B33),VALUE(RIGHT(B33,4)),YEAR(B33))</f>
        <v>1905</v>
      </c>
      <c r="AC33" s="31">
        <f>Брак_tb[[#This Row],[Возраст жениха]]-Брак_tb[[#This Row],[Возраст невесты]]</f>
        <v>0</v>
      </c>
    </row>
    <row r="34" spans="1:29">
      <c r="A34" s="170">
        <v>2</v>
      </c>
      <c r="B34" s="52">
        <v>1104</v>
      </c>
      <c r="C34" s="5" t="s">
        <v>4591</v>
      </c>
      <c r="D34" s="5" t="s">
        <v>4576</v>
      </c>
      <c r="E34" s="49"/>
      <c r="F34" s="171" t="s">
        <v>3913</v>
      </c>
      <c r="G34" s="171">
        <v>19</v>
      </c>
      <c r="H34" s="172">
        <f t="shared" si="12"/>
        <v>1884</v>
      </c>
      <c r="I34" s="173" t="s">
        <v>2640</v>
      </c>
      <c r="J34" s="174" t="s">
        <v>14</v>
      </c>
      <c r="K34" s="10" t="s">
        <v>4935</v>
      </c>
      <c r="L34" s="10" t="s">
        <v>4936</v>
      </c>
      <c r="M34" s="10" t="s">
        <v>4036</v>
      </c>
      <c r="N34" s="171" t="s">
        <v>3913</v>
      </c>
      <c r="O34" s="171">
        <v>21</v>
      </c>
      <c r="P34" s="172">
        <f t="shared" si="13"/>
        <v>1882</v>
      </c>
      <c r="Q34" s="173" t="s">
        <v>2640</v>
      </c>
      <c r="R34" s="41" t="s">
        <v>2431</v>
      </c>
      <c r="S34" s="41" t="s">
        <v>4037</v>
      </c>
      <c r="T34" s="41" t="s">
        <v>4038</v>
      </c>
      <c r="U34" s="5" t="s">
        <v>4937</v>
      </c>
      <c r="V34" s="5" t="s">
        <v>4592</v>
      </c>
      <c r="W34" s="5"/>
      <c r="X34" s="5" t="s">
        <v>56</v>
      </c>
      <c r="Y34" s="70" t="s">
        <v>4867</v>
      </c>
      <c r="Z34" s="5" t="s">
        <v>4039</v>
      </c>
      <c r="AA34" s="178">
        <f t="shared" si="14"/>
        <v>1903</v>
      </c>
      <c r="AC34" s="31">
        <f>Брак_tb[[#This Row],[Возраст жениха]]-Брак_tb[[#This Row],[Возраст невесты]]</f>
        <v>-2</v>
      </c>
    </row>
    <row r="35" spans="1:29">
      <c r="A35" s="170">
        <v>3</v>
      </c>
      <c r="B35" s="52">
        <v>1109</v>
      </c>
      <c r="C35" s="5" t="s">
        <v>4938</v>
      </c>
      <c r="D35" s="5"/>
      <c r="E35" s="49"/>
      <c r="F35" s="171" t="s">
        <v>4040</v>
      </c>
      <c r="G35" s="171">
        <v>32</v>
      </c>
      <c r="H35" s="172">
        <f t="shared" si="12"/>
        <v>1871</v>
      </c>
      <c r="I35" s="173" t="s">
        <v>2640</v>
      </c>
      <c r="J35" s="174" t="s">
        <v>3914</v>
      </c>
      <c r="K35" s="10" t="s">
        <v>4351</v>
      </c>
      <c r="L35" s="10" t="s">
        <v>4304</v>
      </c>
      <c r="M35" s="10"/>
      <c r="N35" s="171" t="s">
        <v>3913</v>
      </c>
      <c r="O35" s="171">
        <v>19</v>
      </c>
      <c r="P35" s="172">
        <f t="shared" si="13"/>
        <v>1884</v>
      </c>
      <c r="Q35" s="173" t="s">
        <v>2640</v>
      </c>
      <c r="R35" s="41" t="s">
        <v>14</v>
      </c>
      <c r="S35" s="41" t="s">
        <v>4041</v>
      </c>
      <c r="T35" s="41" t="s">
        <v>1644</v>
      </c>
      <c r="U35" s="5" t="s">
        <v>4347</v>
      </c>
      <c r="V35" s="5" t="s">
        <v>4311</v>
      </c>
      <c r="W35" s="5" t="s">
        <v>4352</v>
      </c>
      <c r="X35" s="5" t="s">
        <v>56</v>
      </c>
      <c r="Y35" s="70" t="s">
        <v>4867</v>
      </c>
      <c r="Z35" s="5" t="s">
        <v>4039</v>
      </c>
      <c r="AA35" s="178">
        <f t="shared" si="14"/>
        <v>1903</v>
      </c>
      <c r="AC35" s="31">
        <f>Брак_tb[[#This Row],[Возраст жениха]]-Брак_tb[[#This Row],[Возраст невесты]]</f>
        <v>13</v>
      </c>
    </row>
    <row r="36" spans="1:29">
      <c r="A36" s="170">
        <v>21</v>
      </c>
      <c r="B36" s="52">
        <v>1127</v>
      </c>
      <c r="C36" s="5" t="s">
        <v>4503</v>
      </c>
      <c r="D36" s="5" t="s">
        <v>4530</v>
      </c>
      <c r="E36" s="49"/>
      <c r="F36" s="171" t="s">
        <v>3913</v>
      </c>
      <c r="G36" s="171">
        <v>20</v>
      </c>
      <c r="H36" s="172">
        <f t="shared" si="12"/>
        <v>1883</v>
      </c>
      <c r="I36" s="173" t="s">
        <v>2640</v>
      </c>
      <c r="J36" s="174" t="s">
        <v>14</v>
      </c>
      <c r="K36" s="10" t="s">
        <v>4043</v>
      </c>
      <c r="L36" s="10"/>
      <c r="M36" s="10"/>
      <c r="N36" s="171" t="s">
        <v>3913</v>
      </c>
      <c r="O36" s="171">
        <v>17</v>
      </c>
      <c r="P36" s="172">
        <f t="shared" si="13"/>
        <v>1886</v>
      </c>
      <c r="Q36" s="173" t="s">
        <v>2640</v>
      </c>
      <c r="R36" s="41" t="s">
        <v>14</v>
      </c>
      <c r="S36" s="41" t="s">
        <v>4044</v>
      </c>
      <c r="T36" s="41" t="s">
        <v>4939</v>
      </c>
      <c r="U36" s="5" t="s">
        <v>4045</v>
      </c>
      <c r="V36" s="5"/>
      <c r="W36" s="5"/>
      <c r="X36" s="5" t="s">
        <v>56</v>
      </c>
      <c r="Y36" s="70" t="s">
        <v>4867</v>
      </c>
      <c r="Z36" s="5" t="s">
        <v>4042</v>
      </c>
      <c r="AA36" s="178">
        <f t="shared" si="14"/>
        <v>1903</v>
      </c>
      <c r="AC36" s="31">
        <f>Брак_tb[[#This Row],[Возраст жениха]]-Брак_tb[[#This Row],[Возраст невесты]]</f>
        <v>3</v>
      </c>
    </row>
    <row r="37" spans="1:29">
      <c r="A37" s="170">
        <v>22</v>
      </c>
      <c r="B37" s="52">
        <v>1130</v>
      </c>
      <c r="C37" s="5" t="s">
        <v>2343</v>
      </c>
      <c r="D37" s="5"/>
      <c r="E37" s="49"/>
      <c r="F37" s="171" t="s">
        <v>3913</v>
      </c>
      <c r="G37" s="171">
        <v>30</v>
      </c>
      <c r="H37" s="172">
        <f t="shared" si="12"/>
        <v>1873</v>
      </c>
      <c r="I37" s="173" t="s">
        <v>2640</v>
      </c>
      <c r="J37" s="174" t="s">
        <v>14</v>
      </c>
      <c r="K37" s="10" t="s">
        <v>4781</v>
      </c>
      <c r="L37" s="10" t="s">
        <v>4782</v>
      </c>
      <c r="M37" s="10"/>
      <c r="N37" s="171" t="s">
        <v>3913</v>
      </c>
      <c r="O37" s="171">
        <v>19</v>
      </c>
      <c r="P37" s="172">
        <f t="shared" si="13"/>
        <v>1884</v>
      </c>
      <c r="Q37" s="173" t="s">
        <v>2640</v>
      </c>
      <c r="R37" s="41" t="s">
        <v>14</v>
      </c>
      <c r="S37" s="41" t="s">
        <v>5095</v>
      </c>
      <c r="T37" s="41" t="s">
        <v>572</v>
      </c>
      <c r="U37" s="5" t="s">
        <v>4046</v>
      </c>
      <c r="V37" s="5" t="s">
        <v>4783</v>
      </c>
      <c r="W37" s="5"/>
      <c r="X37" s="5" t="s">
        <v>56</v>
      </c>
      <c r="Y37" s="70" t="s">
        <v>4867</v>
      </c>
      <c r="Z37" s="5" t="s">
        <v>4047</v>
      </c>
      <c r="AA37" s="178">
        <f t="shared" si="14"/>
        <v>1903</v>
      </c>
      <c r="AC37" s="31">
        <f>Брак_tb[[#This Row],[Возраст жениха]]-Брак_tb[[#This Row],[Возраст невесты]]</f>
        <v>11</v>
      </c>
    </row>
    <row r="38" spans="1:29">
      <c r="A38" s="170">
        <v>26</v>
      </c>
      <c r="B38" s="52">
        <v>1132</v>
      </c>
      <c r="C38" s="5" t="s">
        <v>4253</v>
      </c>
      <c r="D38" s="5" t="s">
        <v>4331</v>
      </c>
      <c r="E38" s="49" t="s">
        <v>3990</v>
      </c>
      <c r="F38" s="171" t="s">
        <v>3913</v>
      </c>
      <c r="G38" s="171">
        <v>27</v>
      </c>
      <c r="H38" s="172">
        <f t="shared" si="12"/>
        <v>1876</v>
      </c>
      <c r="I38" s="173" t="s">
        <v>2640</v>
      </c>
      <c r="J38" s="174" t="s">
        <v>14</v>
      </c>
      <c r="K38" s="10" t="s">
        <v>4784</v>
      </c>
      <c r="L38" s="10" t="s">
        <v>4785</v>
      </c>
      <c r="M38" s="10"/>
      <c r="N38" s="171" t="s">
        <v>3913</v>
      </c>
      <c r="O38" s="171">
        <v>19</v>
      </c>
      <c r="P38" s="172">
        <f t="shared" si="13"/>
        <v>1884</v>
      </c>
      <c r="Q38" s="173" t="s">
        <v>2640</v>
      </c>
      <c r="R38" s="41" t="s">
        <v>14</v>
      </c>
      <c r="S38" s="41" t="s">
        <v>3931</v>
      </c>
      <c r="T38" s="41" t="s">
        <v>4353</v>
      </c>
      <c r="U38" s="5" t="s">
        <v>4354</v>
      </c>
      <c r="V38" s="5" t="s">
        <v>4048</v>
      </c>
      <c r="W38" s="5"/>
      <c r="X38" s="5" t="s">
        <v>56</v>
      </c>
      <c r="Y38" s="70" t="s">
        <v>4867</v>
      </c>
      <c r="Z38" s="5" t="s">
        <v>4049</v>
      </c>
      <c r="AA38" s="178">
        <f t="shared" si="14"/>
        <v>1903</v>
      </c>
      <c r="AC38" s="31">
        <f>Брак_tb[[#This Row],[Возраст жениха]]-Брак_tb[[#This Row],[Возраст невесты]]</f>
        <v>8</v>
      </c>
    </row>
    <row r="39" spans="1:29">
      <c r="A39" s="170">
        <v>29</v>
      </c>
      <c r="B39" s="52">
        <v>1132</v>
      </c>
      <c r="C39" s="5" t="s">
        <v>4873</v>
      </c>
      <c r="D39" s="5"/>
      <c r="E39" s="49"/>
      <c r="F39" s="171" t="s">
        <v>3913</v>
      </c>
      <c r="G39" s="171">
        <v>19</v>
      </c>
      <c r="H39" s="172">
        <f t="shared" ref="H39:H49" si="15">AA39-G39</f>
        <v>1884</v>
      </c>
      <c r="I39" s="173" t="s">
        <v>2640</v>
      </c>
      <c r="J39" s="174" t="s">
        <v>14</v>
      </c>
      <c r="K39" s="10" t="s">
        <v>4050</v>
      </c>
      <c r="L39" s="10" t="s">
        <v>4051</v>
      </c>
      <c r="M39" s="10"/>
      <c r="N39" s="171" t="s">
        <v>3913</v>
      </c>
      <c r="O39" s="171">
        <v>21</v>
      </c>
      <c r="P39" s="172">
        <f t="shared" ref="P39:P49" si="16">AA39-O39</f>
        <v>1882</v>
      </c>
      <c r="Q39" s="173" t="s">
        <v>2640</v>
      </c>
      <c r="R39" s="41" t="s">
        <v>2442</v>
      </c>
      <c r="S39" s="41" t="s">
        <v>4748</v>
      </c>
      <c r="T39" s="41" t="s">
        <v>4871</v>
      </c>
      <c r="U39" s="5" t="s">
        <v>4052</v>
      </c>
      <c r="V39" s="5"/>
      <c r="W39" s="5"/>
      <c r="X39" s="5" t="s">
        <v>56</v>
      </c>
      <c r="Y39" s="70" t="s">
        <v>4867</v>
      </c>
      <c r="Z39" s="5" t="s">
        <v>4053</v>
      </c>
      <c r="AA39" s="178">
        <f t="shared" ref="AA39:AA49" si="17">IF(ISTEXT(B39),VALUE(RIGHT(B39,4)),YEAR(B39))</f>
        <v>1903</v>
      </c>
      <c r="AC39" s="31">
        <f>Брак_tb[[#This Row],[Возраст жениха]]-Брак_tb[[#This Row],[Возраст невесты]]</f>
        <v>-2</v>
      </c>
    </row>
    <row r="40" spans="1:29">
      <c r="A40" s="170">
        <v>33</v>
      </c>
      <c r="B40" s="52">
        <v>1213</v>
      </c>
      <c r="C40" s="5" t="s">
        <v>4588</v>
      </c>
      <c r="D40" s="5"/>
      <c r="E40" s="49" t="s">
        <v>3990</v>
      </c>
      <c r="F40" s="171" t="s">
        <v>3913</v>
      </c>
      <c r="G40" s="171">
        <v>27</v>
      </c>
      <c r="H40" s="172">
        <f t="shared" si="15"/>
        <v>1876</v>
      </c>
      <c r="I40" s="173" t="s">
        <v>2640</v>
      </c>
      <c r="J40" s="174" t="s">
        <v>14</v>
      </c>
      <c r="K40" s="10" t="s">
        <v>4054</v>
      </c>
      <c r="L40" s="10"/>
      <c r="M40" s="10"/>
      <c r="N40" s="171" t="s">
        <v>3913</v>
      </c>
      <c r="O40" s="171">
        <v>20</v>
      </c>
      <c r="P40" s="172">
        <f t="shared" si="16"/>
        <v>1883</v>
      </c>
      <c r="Q40" s="173" t="s">
        <v>2640</v>
      </c>
      <c r="R40" s="41" t="s">
        <v>4055</v>
      </c>
      <c r="S40" s="41" t="s">
        <v>4056</v>
      </c>
      <c r="T40" s="41" t="s">
        <v>4057</v>
      </c>
      <c r="U40" s="5" t="s">
        <v>1500</v>
      </c>
      <c r="V40" s="5" t="s">
        <v>4058</v>
      </c>
      <c r="W40" s="5"/>
      <c r="X40" s="5" t="s">
        <v>56</v>
      </c>
      <c r="Y40" s="70" t="s">
        <v>4867</v>
      </c>
      <c r="Z40" s="5" t="s">
        <v>4059</v>
      </c>
      <c r="AA40" s="178">
        <f t="shared" si="17"/>
        <v>1903</v>
      </c>
      <c r="AC40" s="31">
        <f>Брак_tb[[#This Row],[Возраст жениха]]-Брак_tb[[#This Row],[Возраст невесты]]</f>
        <v>7</v>
      </c>
    </row>
    <row r="41" spans="1:29">
      <c r="A41" s="170">
        <v>55</v>
      </c>
      <c r="B41" s="52">
        <v>1410</v>
      </c>
      <c r="C41" s="5" t="s">
        <v>4720</v>
      </c>
      <c r="D41" s="5"/>
      <c r="E41" s="49"/>
      <c r="F41" s="171" t="s">
        <v>3913</v>
      </c>
      <c r="G41" s="171">
        <v>19</v>
      </c>
      <c r="H41" s="172">
        <f t="shared" si="15"/>
        <v>1884</v>
      </c>
      <c r="I41" s="173" t="s">
        <v>2640</v>
      </c>
      <c r="J41" s="174" t="s">
        <v>14</v>
      </c>
      <c r="K41" s="10" t="s">
        <v>4060</v>
      </c>
      <c r="L41" s="10" t="s">
        <v>4061</v>
      </c>
      <c r="M41" s="10"/>
      <c r="N41" s="171" t="s">
        <v>3913</v>
      </c>
      <c r="O41" s="171">
        <v>19</v>
      </c>
      <c r="P41" s="172">
        <f t="shared" si="16"/>
        <v>1884</v>
      </c>
      <c r="Q41" s="173" t="s">
        <v>2640</v>
      </c>
      <c r="R41" s="41" t="s">
        <v>14</v>
      </c>
      <c r="S41" s="41" t="s">
        <v>4062</v>
      </c>
      <c r="T41" s="41" t="s">
        <v>4771</v>
      </c>
      <c r="U41" s="5" t="s">
        <v>4063</v>
      </c>
      <c r="V41" s="5" t="s">
        <v>4064</v>
      </c>
      <c r="W41" s="5" t="s">
        <v>4786</v>
      </c>
      <c r="X41" s="5" t="s">
        <v>56</v>
      </c>
      <c r="Y41" s="70" t="s">
        <v>4867</v>
      </c>
      <c r="Z41" s="5" t="s">
        <v>4065</v>
      </c>
      <c r="AA41" s="178">
        <f t="shared" si="17"/>
        <v>1903</v>
      </c>
      <c r="AC41" s="31">
        <f>Брак_tb[[#This Row],[Возраст жениха]]-Брак_tb[[#This Row],[Возраст невесты]]</f>
        <v>0</v>
      </c>
    </row>
    <row r="42" spans="1:29">
      <c r="A42" s="170">
        <v>13</v>
      </c>
      <c r="B42" s="52">
        <v>24</v>
      </c>
      <c r="C42" s="234" t="s">
        <v>4308</v>
      </c>
      <c r="D42" s="5"/>
      <c r="E42" s="49"/>
      <c r="F42" s="171" t="s">
        <v>3913</v>
      </c>
      <c r="G42" s="171">
        <v>21</v>
      </c>
      <c r="H42" s="172">
        <f t="shared" si="15"/>
        <v>1879</v>
      </c>
      <c r="I42" s="173" t="s">
        <v>18</v>
      </c>
      <c r="J42" s="174" t="s">
        <v>14</v>
      </c>
      <c r="K42" s="263" t="s">
        <v>4919</v>
      </c>
      <c r="L42" s="263" t="s">
        <v>4920</v>
      </c>
      <c r="M42" s="10"/>
      <c r="N42" s="171" t="s">
        <v>3913</v>
      </c>
      <c r="O42" s="171">
        <v>17</v>
      </c>
      <c r="P42" s="172">
        <f t="shared" si="16"/>
        <v>1883</v>
      </c>
      <c r="Q42" s="173" t="s">
        <v>18</v>
      </c>
      <c r="R42" s="41" t="s">
        <v>14</v>
      </c>
      <c r="S42" s="41" t="s">
        <v>4355</v>
      </c>
      <c r="T42" s="41" t="s">
        <v>4301</v>
      </c>
      <c r="U42" s="5" t="s">
        <v>4918</v>
      </c>
      <c r="V42" s="5" t="s">
        <v>4327</v>
      </c>
      <c r="W42" s="5"/>
      <c r="X42" s="5" t="s">
        <v>18</v>
      </c>
      <c r="Y42" s="70" t="s">
        <v>4867</v>
      </c>
      <c r="Z42" s="5" t="s">
        <v>4068</v>
      </c>
      <c r="AA42" s="178">
        <f t="shared" si="17"/>
        <v>1900</v>
      </c>
      <c r="AC42" s="31">
        <f>Брак_tb[[#This Row],[Возраст жениха]]-Брак_tb[[#This Row],[Возраст невесты]]</f>
        <v>4</v>
      </c>
    </row>
    <row r="43" spans="1:29">
      <c r="A43" s="170">
        <v>4</v>
      </c>
      <c r="B43" s="52" t="s">
        <v>63</v>
      </c>
      <c r="C43" s="5" t="s">
        <v>4111</v>
      </c>
      <c r="D43" s="5" t="s">
        <v>4112</v>
      </c>
      <c r="E43" s="49" t="s">
        <v>4113</v>
      </c>
      <c r="F43" s="171" t="s">
        <v>3913</v>
      </c>
      <c r="G43" s="171">
        <v>20</v>
      </c>
      <c r="H43" s="172">
        <f t="shared" si="15"/>
        <v>1862</v>
      </c>
      <c r="I43" s="173" t="s">
        <v>2640</v>
      </c>
      <c r="J43" s="174" t="s">
        <v>14</v>
      </c>
      <c r="K43" s="10" t="s">
        <v>4593</v>
      </c>
      <c r="L43" s="10" t="s">
        <v>4594</v>
      </c>
      <c r="M43" s="10"/>
      <c r="N43" s="171"/>
      <c r="O43" s="171">
        <v>17</v>
      </c>
      <c r="P43" s="172">
        <f t="shared" si="16"/>
        <v>1865</v>
      </c>
      <c r="Q43" s="173" t="s">
        <v>2640</v>
      </c>
      <c r="R43" s="41" t="s">
        <v>14</v>
      </c>
      <c r="S43" s="41" t="s">
        <v>4114</v>
      </c>
      <c r="T43" s="41" t="s">
        <v>4115</v>
      </c>
      <c r="U43" s="5" t="s">
        <v>4116</v>
      </c>
      <c r="V43" s="5" t="s">
        <v>4117</v>
      </c>
      <c r="W43" s="5"/>
      <c r="X43" s="5" t="s">
        <v>56</v>
      </c>
      <c r="Y43" s="70" t="s">
        <v>4867</v>
      </c>
      <c r="Z43" s="192" t="s">
        <v>4118</v>
      </c>
      <c r="AA43" s="178">
        <f t="shared" si="17"/>
        <v>1882</v>
      </c>
    </row>
    <row r="44" spans="1:29">
      <c r="A44" s="170">
        <v>8</v>
      </c>
      <c r="B44" s="52" t="s">
        <v>4119</v>
      </c>
      <c r="C44" s="264" t="s">
        <v>4120</v>
      </c>
      <c r="D44" s="5"/>
      <c r="E44" s="49"/>
      <c r="F44" s="171" t="s">
        <v>4040</v>
      </c>
      <c r="G44" s="171">
        <v>49</v>
      </c>
      <c r="H44" s="172">
        <f t="shared" si="15"/>
        <v>1833</v>
      </c>
      <c r="I44" s="173" t="s">
        <v>2640</v>
      </c>
      <c r="J44" s="174" t="s">
        <v>2442</v>
      </c>
      <c r="K44" s="262" t="s">
        <v>4787</v>
      </c>
      <c r="L44" s="10"/>
      <c r="M44" s="262" t="s">
        <v>4788</v>
      </c>
      <c r="N44" s="171" t="s">
        <v>4040</v>
      </c>
      <c r="O44" s="171">
        <v>52</v>
      </c>
      <c r="P44" s="172">
        <f t="shared" si="16"/>
        <v>1830</v>
      </c>
      <c r="Q44" s="173" t="s">
        <v>2640</v>
      </c>
      <c r="R44" s="41" t="s">
        <v>14</v>
      </c>
      <c r="S44" s="41" t="s">
        <v>4121</v>
      </c>
      <c r="T44" s="41" t="s">
        <v>4122</v>
      </c>
      <c r="U44" s="5" t="s">
        <v>4789</v>
      </c>
      <c r="V44" s="5" t="s">
        <v>4123</v>
      </c>
      <c r="W44" s="5"/>
      <c r="X44" s="5" t="s">
        <v>18</v>
      </c>
      <c r="Y44" s="5" t="s">
        <v>4891</v>
      </c>
      <c r="Z44" s="5" t="s">
        <v>4124</v>
      </c>
      <c r="AA44" s="178">
        <f t="shared" si="17"/>
        <v>1882</v>
      </c>
    </row>
    <row r="45" spans="1:29">
      <c r="A45" s="170">
        <v>22</v>
      </c>
      <c r="B45" s="52" t="s">
        <v>4125</v>
      </c>
      <c r="C45" s="5" t="s">
        <v>4356</v>
      </c>
      <c r="D45" s="5" t="s">
        <v>4357</v>
      </c>
      <c r="E45" s="49"/>
      <c r="F45" s="171" t="s">
        <v>3913</v>
      </c>
      <c r="G45" s="171">
        <v>18</v>
      </c>
      <c r="H45" s="172">
        <f t="shared" si="15"/>
        <v>1864</v>
      </c>
      <c r="I45" s="173" t="s">
        <v>2640</v>
      </c>
      <c r="J45" s="174" t="s">
        <v>14</v>
      </c>
      <c r="K45" s="10" t="s">
        <v>4126</v>
      </c>
      <c r="L45" s="10" t="s">
        <v>4127</v>
      </c>
      <c r="M45" s="10"/>
      <c r="N45" s="171" t="s">
        <v>3913</v>
      </c>
      <c r="O45" s="171">
        <v>18</v>
      </c>
      <c r="P45" s="172">
        <f t="shared" si="16"/>
        <v>1864</v>
      </c>
      <c r="Q45" s="173" t="s">
        <v>2640</v>
      </c>
      <c r="R45" s="41" t="s">
        <v>2432</v>
      </c>
      <c r="S45" s="41" t="s">
        <v>4128</v>
      </c>
      <c r="T45" s="41" t="s">
        <v>4358</v>
      </c>
      <c r="U45" s="5" t="s">
        <v>4129</v>
      </c>
      <c r="V45" s="5" t="s">
        <v>4130</v>
      </c>
      <c r="W45" s="5"/>
      <c r="X45" s="5" t="s">
        <v>56</v>
      </c>
      <c r="Y45" s="5" t="s">
        <v>4891</v>
      </c>
      <c r="Z45" s="5" t="s">
        <v>4131</v>
      </c>
      <c r="AA45" s="178">
        <f t="shared" si="17"/>
        <v>1882</v>
      </c>
    </row>
    <row r="46" spans="1:29">
      <c r="A46" s="170">
        <v>25</v>
      </c>
      <c r="B46" s="52" t="s">
        <v>4125</v>
      </c>
      <c r="C46" s="5" t="s">
        <v>4940</v>
      </c>
      <c r="D46" s="5" t="s">
        <v>4941</v>
      </c>
      <c r="E46" s="49"/>
      <c r="F46" s="171" t="s">
        <v>3913</v>
      </c>
      <c r="G46" s="171">
        <v>19</v>
      </c>
      <c r="H46" s="172">
        <f t="shared" si="15"/>
        <v>1863</v>
      </c>
      <c r="I46" s="173" t="s">
        <v>2640</v>
      </c>
      <c r="J46" s="174" t="s">
        <v>14</v>
      </c>
      <c r="K46" s="10" t="s">
        <v>4132</v>
      </c>
      <c r="L46" s="10" t="s">
        <v>4133</v>
      </c>
      <c r="M46" s="10" t="s">
        <v>4134</v>
      </c>
      <c r="N46" s="171" t="s">
        <v>3913</v>
      </c>
      <c r="O46" s="171">
        <v>16</v>
      </c>
      <c r="P46" s="172">
        <f t="shared" si="16"/>
        <v>1866</v>
      </c>
      <c r="Q46" s="173" t="s">
        <v>2640</v>
      </c>
      <c r="R46" s="41" t="s">
        <v>2432</v>
      </c>
      <c r="S46" s="41" t="s">
        <v>4942</v>
      </c>
      <c r="T46" s="41" t="s">
        <v>4135</v>
      </c>
      <c r="U46" s="5" t="s">
        <v>4136</v>
      </c>
      <c r="V46" s="5" t="s">
        <v>4137</v>
      </c>
      <c r="W46" s="5"/>
      <c r="X46" s="5" t="s">
        <v>56</v>
      </c>
      <c r="Y46" s="5" t="s">
        <v>4891</v>
      </c>
      <c r="Z46" s="5" t="s">
        <v>4138</v>
      </c>
      <c r="AA46" s="178">
        <f t="shared" si="17"/>
        <v>1882</v>
      </c>
    </row>
    <row r="47" spans="1:29">
      <c r="A47" s="170">
        <v>27</v>
      </c>
      <c r="B47" s="52" t="s">
        <v>4125</v>
      </c>
      <c r="C47" s="5" t="s">
        <v>4142</v>
      </c>
      <c r="D47" s="5"/>
      <c r="E47" s="49"/>
      <c r="F47" s="171" t="s">
        <v>4040</v>
      </c>
      <c r="G47" s="171">
        <v>23</v>
      </c>
      <c r="H47" s="172">
        <f t="shared" si="15"/>
        <v>1859</v>
      </c>
      <c r="I47" s="173" t="s">
        <v>2640</v>
      </c>
      <c r="J47" s="174" t="s">
        <v>3914</v>
      </c>
      <c r="K47" s="10" t="s">
        <v>4943</v>
      </c>
      <c r="L47" s="10" t="s">
        <v>4944</v>
      </c>
      <c r="M47" s="10" t="s">
        <v>4134</v>
      </c>
      <c r="N47" s="171"/>
      <c r="O47" s="171">
        <v>23</v>
      </c>
      <c r="P47" s="172">
        <f t="shared" si="16"/>
        <v>1859</v>
      </c>
      <c r="Q47" s="173" t="s">
        <v>2640</v>
      </c>
      <c r="R47" s="41" t="s">
        <v>4139</v>
      </c>
      <c r="S47" s="41" t="s">
        <v>4140</v>
      </c>
      <c r="T47" s="41" t="s">
        <v>4141</v>
      </c>
      <c r="U47" s="5" t="s">
        <v>4143</v>
      </c>
      <c r="V47" s="5" t="s">
        <v>4144</v>
      </c>
      <c r="W47" s="5"/>
      <c r="X47" s="5" t="s">
        <v>56</v>
      </c>
      <c r="Y47" s="5" t="s">
        <v>4891</v>
      </c>
      <c r="Z47" s="5" t="s">
        <v>4145</v>
      </c>
      <c r="AA47" s="178">
        <f t="shared" si="17"/>
        <v>1882</v>
      </c>
    </row>
    <row r="48" spans="1:29">
      <c r="A48" s="170">
        <v>28</v>
      </c>
      <c r="B48" s="52" t="s">
        <v>4125</v>
      </c>
      <c r="C48" s="5" t="s">
        <v>4146</v>
      </c>
      <c r="D48" s="5" t="s">
        <v>4147</v>
      </c>
      <c r="E48" s="49"/>
      <c r="F48" s="171" t="s">
        <v>3913</v>
      </c>
      <c r="G48" s="171">
        <v>18</v>
      </c>
      <c r="H48" s="172">
        <f t="shared" si="15"/>
        <v>1864</v>
      </c>
      <c r="I48" s="173" t="s">
        <v>2640</v>
      </c>
      <c r="J48" s="174" t="s">
        <v>3914</v>
      </c>
      <c r="K48" s="10" t="s">
        <v>4945</v>
      </c>
      <c r="L48" s="10" t="s">
        <v>4946</v>
      </c>
      <c r="M48" s="10" t="s">
        <v>4134</v>
      </c>
      <c r="N48" s="171"/>
      <c r="O48" s="171">
        <v>16</v>
      </c>
      <c r="P48" s="172">
        <f t="shared" si="16"/>
        <v>1866</v>
      </c>
      <c r="Q48" s="173" t="s">
        <v>2640</v>
      </c>
      <c r="R48" s="41" t="s">
        <v>2431</v>
      </c>
      <c r="S48" s="41" t="s">
        <v>4148</v>
      </c>
      <c r="T48" s="41" t="s">
        <v>4149</v>
      </c>
      <c r="U48" s="5" t="s">
        <v>4150</v>
      </c>
      <c r="V48" s="5" t="s">
        <v>4151</v>
      </c>
      <c r="W48" s="5"/>
      <c r="X48" s="5" t="s">
        <v>56</v>
      </c>
      <c r="Y48" s="5" t="s">
        <v>4891</v>
      </c>
      <c r="Z48" s="5" t="s">
        <v>4152</v>
      </c>
      <c r="AA48" s="178">
        <f t="shared" si="17"/>
        <v>1882</v>
      </c>
    </row>
    <row r="49" spans="1:27">
      <c r="A49" s="170">
        <v>32</v>
      </c>
      <c r="B49" s="52" t="s">
        <v>113</v>
      </c>
      <c r="C49" s="5" t="s">
        <v>4947</v>
      </c>
      <c r="D49" s="5" t="s">
        <v>4948</v>
      </c>
      <c r="E49" s="49"/>
      <c r="F49" s="171" t="s">
        <v>3913</v>
      </c>
      <c r="G49" s="171">
        <v>18</v>
      </c>
      <c r="H49" s="172">
        <f t="shared" si="15"/>
        <v>1864</v>
      </c>
      <c r="I49" s="173" t="s">
        <v>2640</v>
      </c>
      <c r="J49" s="174" t="s">
        <v>2442</v>
      </c>
      <c r="K49" s="10" t="s">
        <v>4153</v>
      </c>
      <c r="L49" s="10" t="s">
        <v>4154</v>
      </c>
      <c r="M49" s="10" t="s">
        <v>4134</v>
      </c>
      <c r="N49" s="171"/>
      <c r="O49" s="171">
        <v>20</v>
      </c>
      <c r="P49" s="172">
        <f t="shared" si="16"/>
        <v>1862</v>
      </c>
      <c r="Q49" s="173" t="s">
        <v>2640</v>
      </c>
      <c r="R49" s="41" t="s">
        <v>2534</v>
      </c>
      <c r="S49" s="41" t="s">
        <v>4949</v>
      </c>
      <c r="T49" s="41" t="s">
        <v>4950</v>
      </c>
      <c r="U49" s="5" t="s">
        <v>4951</v>
      </c>
      <c r="V49" s="5" t="s">
        <v>4155</v>
      </c>
      <c r="W49" s="5" t="s">
        <v>4952</v>
      </c>
      <c r="X49" s="5" t="s">
        <v>56</v>
      </c>
      <c r="Y49" s="5" t="s">
        <v>4891</v>
      </c>
      <c r="Z49" s="5" t="s">
        <v>4156</v>
      </c>
      <c r="AA49" s="178">
        <f t="shared" si="17"/>
        <v>1882</v>
      </c>
    </row>
    <row r="50" spans="1:27">
      <c r="A50" s="170">
        <v>33</v>
      </c>
      <c r="B50" s="52" t="s">
        <v>4157</v>
      </c>
      <c r="C50" s="5" t="s">
        <v>4510</v>
      </c>
      <c r="D50" s="5" t="s">
        <v>4584</v>
      </c>
      <c r="E50" s="49"/>
      <c r="F50" s="171" t="s">
        <v>3913</v>
      </c>
      <c r="G50" s="171">
        <v>17.5</v>
      </c>
      <c r="H50" s="172">
        <f t="shared" ref="H50:H58" si="18">AA50-G50</f>
        <v>1864.5</v>
      </c>
      <c r="I50" s="173" t="s">
        <v>2640</v>
      </c>
      <c r="J50" s="174" t="s">
        <v>14</v>
      </c>
      <c r="K50" s="10" t="s">
        <v>4158</v>
      </c>
      <c r="L50" s="10" t="s">
        <v>4159</v>
      </c>
      <c r="M50" s="10" t="s">
        <v>4160</v>
      </c>
      <c r="N50" s="171"/>
      <c r="O50" s="171">
        <v>16</v>
      </c>
      <c r="P50" s="172">
        <f t="shared" ref="P50:P58" si="19">AA50-O50</f>
        <v>1866</v>
      </c>
      <c r="Q50" s="173" t="s">
        <v>2640</v>
      </c>
      <c r="R50" s="41" t="s">
        <v>2432</v>
      </c>
      <c r="S50" s="233" t="s">
        <v>4563</v>
      </c>
      <c r="T50" s="41" t="s">
        <v>4595</v>
      </c>
      <c r="U50" s="5" t="s">
        <v>4161</v>
      </c>
      <c r="V50" s="5" t="s">
        <v>4162</v>
      </c>
      <c r="W50" s="5"/>
      <c r="X50" s="5" t="s">
        <v>56</v>
      </c>
      <c r="Y50" s="5" t="s">
        <v>4891</v>
      </c>
      <c r="Z50" s="5" t="s">
        <v>4163</v>
      </c>
      <c r="AA50" s="178">
        <f t="shared" ref="AA50:AA58" si="20">IF(ISTEXT(B50),VALUE(RIGHT(B50,4)),YEAR(B50))</f>
        <v>1882</v>
      </c>
    </row>
    <row r="51" spans="1:27">
      <c r="A51" s="170">
        <v>36</v>
      </c>
      <c r="B51" s="52" t="s">
        <v>4164</v>
      </c>
      <c r="C51" s="5" t="s">
        <v>4165</v>
      </c>
      <c r="D51" s="5"/>
      <c r="E51" s="49"/>
      <c r="F51" s="171" t="s">
        <v>4040</v>
      </c>
      <c r="G51" s="171">
        <v>43</v>
      </c>
      <c r="H51" s="172">
        <f t="shared" si="18"/>
        <v>1839</v>
      </c>
      <c r="I51" s="173" t="s">
        <v>2640</v>
      </c>
      <c r="J51" s="174" t="s">
        <v>2431</v>
      </c>
      <c r="K51" s="10" t="s">
        <v>4596</v>
      </c>
      <c r="L51" s="10"/>
      <c r="M51" s="10" t="s">
        <v>4597</v>
      </c>
      <c r="N51" s="171" t="s">
        <v>4040</v>
      </c>
      <c r="O51" s="171">
        <v>24</v>
      </c>
      <c r="P51" s="172">
        <f t="shared" si="19"/>
        <v>1858</v>
      </c>
      <c r="Q51" s="173" t="s">
        <v>2640</v>
      </c>
      <c r="R51" s="41" t="s">
        <v>14</v>
      </c>
      <c r="S51" s="41" t="s">
        <v>4166</v>
      </c>
      <c r="T51" s="41" t="s">
        <v>4167</v>
      </c>
      <c r="U51" s="5" t="s">
        <v>4598</v>
      </c>
      <c r="V51" s="5" t="s">
        <v>4168</v>
      </c>
      <c r="W51" s="5"/>
      <c r="X51" s="5" t="s">
        <v>56</v>
      </c>
      <c r="Y51" s="5" t="s">
        <v>4891</v>
      </c>
      <c r="Z51" s="5" t="s">
        <v>4169</v>
      </c>
      <c r="AA51" s="178">
        <f t="shared" si="20"/>
        <v>1882</v>
      </c>
    </row>
    <row r="52" spans="1:27">
      <c r="A52" s="170">
        <v>39</v>
      </c>
      <c r="B52" s="52" t="s">
        <v>4170</v>
      </c>
      <c r="C52" s="5" t="s">
        <v>4599</v>
      </c>
      <c r="D52" s="5" t="s">
        <v>4600</v>
      </c>
      <c r="E52" s="49" t="s">
        <v>4171</v>
      </c>
      <c r="F52" s="171" t="s">
        <v>3913</v>
      </c>
      <c r="G52" s="171">
        <v>19</v>
      </c>
      <c r="H52" s="172">
        <f t="shared" si="18"/>
        <v>1863</v>
      </c>
      <c r="I52" s="173" t="s">
        <v>2640</v>
      </c>
      <c r="J52" s="174" t="s">
        <v>14</v>
      </c>
      <c r="K52" s="10" t="s">
        <v>4172</v>
      </c>
      <c r="L52" s="10" t="s">
        <v>4173</v>
      </c>
      <c r="M52" s="10"/>
      <c r="N52" s="171" t="s">
        <v>3913</v>
      </c>
      <c r="O52" s="171">
        <v>16</v>
      </c>
      <c r="P52" s="172">
        <f t="shared" si="19"/>
        <v>1866</v>
      </c>
      <c r="Q52" s="173" t="s">
        <v>2640</v>
      </c>
      <c r="R52" s="41" t="s">
        <v>14</v>
      </c>
      <c r="S52" s="41" t="s">
        <v>4601</v>
      </c>
      <c r="T52" s="41" t="s">
        <v>4174</v>
      </c>
      <c r="U52" s="5" t="s">
        <v>4175</v>
      </c>
      <c r="V52" s="5" t="s">
        <v>4176</v>
      </c>
      <c r="W52" s="5"/>
      <c r="X52" s="5" t="s">
        <v>56</v>
      </c>
      <c r="Y52" s="5" t="s">
        <v>4891</v>
      </c>
      <c r="Z52" s="5" t="s">
        <v>4177</v>
      </c>
      <c r="AA52" s="178">
        <f t="shared" si="20"/>
        <v>1882</v>
      </c>
    </row>
    <row r="53" spans="1:27">
      <c r="A53" s="170">
        <v>42</v>
      </c>
      <c r="B53" s="52" t="s">
        <v>4178</v>
      </c>
      <c r="C53" s="5" t="s">
        <v>4179</v>
      </c>
      <c r="D53" s="5"/>
      <c r="E53" s="49"/>
      <c r="F53" s="171" t="s">
        <v>4040</v>
      </c>
      <c r="G53" s="171">
        <v>29</v>
      </c>
      <c r="H53" s="172">
        <f t="shared" si="18"/>
        <v>1853</v>
      </c>
      <c r="I53" s="173" t="s">
        <v>2640</v>
      </c>
      <c r="J53" s="174" t="s">
        <v>14</v>
      </c>
      <c r="K53" s="10" t="s">
        <v>4953</v>
      </c>
      <c r="L53" s="10"/>
      <c r="M53" s="10" t="s">
        <v>4954</v>
      </c>
      <c r="N53" s="171" t="s">
        <v>4040</v>
      </c>
      <c r="O53" s="171">
        <v>28</v>
      </c>
      <c r="P53" s="172">
        <f t="shared" si="19"/>
        <v>1854</v>
      </c>
      <c r="Q53" s="173" t="s">
        <v>2640</v>
      </c>
      <c r="R53" s="41" t="s">
        <v>4139</v>
      </c>
      <c r="S53" s="41" t="s">
        <v>4180</v>
      </c>
      <c r="T53" s="41" t="s">
        <v>4006</v>
      </c>
      <c r="U53" s="5" t="s">
        <v>4181</v>
      </c>
      <c r="V53" s="5" t="s">
        <v>4182</v>
      </c>
      <c r="W53" s="5"/>
      <c r="X53" s="5" t="s">
        <v>56</v>
      </c>
      <c r="Y53" s="5" t="s">
        <v>4891</v>
      </c>
      <c r="Z53" s="5" t="s">
        <v>4177</v>
      </c>
      <c r="AA53" s="178">
        <f t="shared" si="20"/>
        <v>1882</v>
      </c>
    </row>
    <row r="54" spans="1:27">
      <c r="A54" s="170">
        <v>45</v>
      </c>
      <c r="B54" s="52" t="s">
        <v>4183</v>
      </c>
      <c r="C54" s="5" t="s">
        <v>4184</v>
      </c>
      <c r="D54" s="5" t="s">
        <v>4185</v>
      </c>
      <c r="E54" s="49"/>
      <c r="F54" s="171" t="s">
        <v>3913</v>
      </c>
      <c r="G54" s="171">
        <v>18</v>
      </c>
      <c r="H54" s="172">
        <f t="shared" si="18"/>
        <v>1864</v>
      </c>
      <c r="I54" s="173" t="s">
        <v>2640</v>
      </c>
      <c r="J54" s="174" t="s">
        <v>2442</v>
      </c>
      <c r="K54" s="10" t="s">
        <v>4955</v>
      </c>
      <c r="L54" s="10" t="s">
        <v>4929</v>
      </c>
      <c r="M54" s="10" t="s">
        <v>4134</v>
      </c>
      <c r="N54" s="171"/>
      <c r="O54" s="171">
        <v>19</v>
      </c>
      <c r="P54" s="172">
        <f t="shared" si="19"/>
        <v>1863</v>
      </c>
      <c r="Q54" s="173" t="s">
        <v>2640</v>
      </c>
      <c r="R54" s="41" t="s">
        <v>4139</v>
      </c>
      <c r="S54" s="41" t="s">
        <v>4186</v>
      </c>
      <c r="T54" s="41" t="s">
        <v>4187</v>
      </c>
      <c r="U54" s="5" t="s">
        <v>4956</v>
      </c>
      <c r="V54" s="5" t="s">
        <v>4957</v>
      </c>
      <c r="W54" s="5"/>
      <c r="X54" s="5" t="s">
        <v>56</v>
      </c>
      <c r="Y54" s="5" t="s">
        <v>4891</v>
      </c>
      <c r="Z54" s="5" t="s">
        <v>4188</v>
      </c>
      <c r="AA54" s="178">
        <f t="shared" si="20"/>
        <v>1882</v>
      </c>
    </row>
    <row r="55" spans="1:27">
      <c r="A55" s="170">
        <v>51</v>
      </c>
      <c r="B55" s="52" t="s">
        <v>4189</v>
      </c>
      <c r="C55" s="5" t="s">
        <v>4958</v>
      </c>
      <c r="D55" s="5" t="s">
        <v>4959</v>
      </c>
      <c r="E55" s="49" t="s">
        <v>4190</v>
      </c>
      <c r="F55" s="171" t="s">
        <v>3913</v>
      </c>
      <c r="G55" s="171">
        <v>23</v>
      </c>
      <c r="H55" s="172">
        <f t="shared" si="18"/>
        <v>1859</v>
      </c>
      <c r="I55" s="173" t="s">
        <v>2640</v>
      </c>
      <c r="J55" s="174" t="s">
        <v>14</v>
      </c>
      <c r="K55" s="10" t="s">
        <v>4191</v>
      </c>
      <c r="L55" s="10" t="s">
        <v>4192</v>
      </c>
      <c r="M55" s="10" t="s">
        <v>4134</v>
      </c>
      <c r="N55" s="171"/>
      <c r="O55" s="171">
        <v>18</v>
      </c>
      <c r="P55" s="172">
        <f t="shared" si="19"/>
        <v>1864</v>
      </c>
      <c r="Q55" s="173" t="s">
        <v>2640</v>
      </c>
      <c r="R55" s="41" t="s">
        <v>14</v>
      </c>
      <c r="S55" s="41" t="s">
        <v>4193</v>
      </c>
      <c r="T55" s="41" t="s">
        <v>4194</v>
      </c>
      <c r="U55" s="5" t="s">
        <v>4195</v>
      </c>
      <c r="V55" s="5" t="s">
        <v>4196</v>
      </c>
      <c r="W55" s="5"/>
      <c r="X55" s="5" t="s">
        <v>56</v>
      </c>
      <c r="Y55" s="5" t="s">
        <v>4891</v>
      </c>
      <c r="Z55" s="5" t="s">
        <v>4197</v>
      </c>
      <c r="AA55" s="178">
        <f t="shared" si="20"/>
        <v>1882</v>
      </c>
    </row>
    <row r="56" spans="1:27">
      <c r="A56" s="170">
        <v>54</v>
      </c>
      <c r="B56" s="52" t="s">
        <v>4198</v>
      </c>
      <c r="C56" s="5" t="s">
        <v>2221</v>
      </c>
      <c r="D56" s="5" t="s">
        <v>4199</v>
      </c>
      <c r="E56" s="49"/>
      <c r="F56" s="171" t="s">
        <v>3913</v>
      </c>
      <c r="G56" s="171">
        <v>18</v>
      </c>
      <c r="H56" s="172">
        <f t="shared" si="18"/>
        <v>1864</v>
      </c>
      <c r="I56" s="173" t="s">
        <v>2640</v>
      </c>
      <c r="J56" s="174" t="s">
        <v>14</v>
      </c>
      <c r="K56" s="10" t="s">
        <v>4359</v>
      </c>
      <c r="L56" s="10" t="s">
        <v>4360</v>
      </c>
      <c r="M56" s="10"/>
      <c r="N56" s="171"/>
      <c r="O56" s="171">
        <v>19</v>
      </c>
      <c r="P56" s="172">
        <f t="shared" si="19"/>
        <v>1863</v>
      </c>
      <c r="Q56" s="173" t="s">
        <v>2640</v>
      </c>
      <c r="R56" s="41" t="s">
        <v>14</v>
      </c>
      <c r="S56" s="41" t="s">
        <v>4200</v>
      </c>
      <c r="T56" s="41" t="s">
        <v>4201</v>
      </c>
      <c r="U56" s="5" t="s">
        <v>4304</v>
      </c>
      <c r="V56" s="5" t="s">
        <v>4960</v>
      </c>
      <c r="W56" s="5"/>
      <c r="X56" s="5" t="s">
        <v>4361</v>
      </c>
      <c r="Y56" s="5" t="s">
        <v>4891</v>
      </c>
      <c r="Z56" s="5" t="s">
        <v>4202</v>
      </c>
      <c r="AA56" s="178">
        <f t="shared" si="20"/>
        <v>1882</v>
      </c>
    </row>
    <row r="57" spans="1:27">
      <c r="A57" s="170">
        <v>57</v>
      </c>
      <c r="B57" s="52" t="s">
        <v>4203</v>
      </c>
      <c r="C57" s="5" t="s">
        <v>4204</v>
      </c>
      <c r="D57" s="5"/>
      <c r="E57" s="49"/>
      <c r="F57" s="171" t="s">
        <v>4040</v>
      </c>
      <c r="G57" s="171">
        <v>32</v>
      </c>
      <c r="H57" s="172">
        <f t="shared" si="18"/>
        <v>1850</v>
      </c>
      <c r="I57" s="173" t="s">
        <v>2640</v>
      </c>
      <c r="J57" s="174" t="s">
        <v>14</v>
      </c>
      <c r="K57" s="10" t="s">
        <v>4602</v>
      </c>
      <c r="L57" s="10"/>
      <c r="M57" s="10" t="s">
        <v>4603</v>
      </c>
      <c r="N57" s="171" t="s">
        <v>4040</v>
      </c>
      <c r="O57" s="171">
        <v>35</v>
      </c>
      <c r="P57" s="172">
        <f t="shared" si="19"/>
        <v>1847</v>
      </c>
      <c r="Q57" s="173" t="s">
        <v>2640</v>
      </c>
      <c r="R57" s="41" t="s">
        <v>14</v>
      </c>
      <c r="S57" s="41" t="s">
        <v>4205</v>
      </c>
      <c r="T57" s="41" t="s">
        <v>4206</v>
      </c>
      <c r="U57" s="5" t="s">
        <v>5096</v>
      </c>
      <c r="V57" s="5" t="s">
        <v>4604</v>
      </c>
      <c r="W57" s="5"/>
      <c r="X57" s="5" t="s">
        <v>56</v>
      </c>
      <c r="Y57" s="5" t="s">
        <v>4891</v>
      </c>
      <c r="Z57" s="5" t="s">
        <v>4207</v>
      </c>
      <c r="AA57" s="178">
        <f t="shared" si="20"/>
        <v>1882</v>
      </c>
    </row>
    <row r="58" spans="1:27">
      <c r="A58" s="170">
        <v>58</v>
      </c>
      <c r="B58" s="52" t="s">
        <v>4203</v>
      </c>
      <c r="C58" s="5" t="s">
        <v>4208</v>
      </c>
      <c r="D58" s="5" t="s">
        <v>4209</v>
      </c>
      <c r="E58" s="49"/>
      <c r="F58" s="171" t="s">
        <v>3913</v>
      </c>
      <c r="G58" s="171">
        <v>18</v>
      </c>
      <c r="H58" s="172">
        <f t="shared" si="18"/>
        <v>1864</v>
      </c>
      <c r="I58" s="173" t="s">
        <v>2640</v>
      </c>
      <c r="J58" s="174" t="s">
        <v>3914</v>
      </c>
      <c r="K58" s="10" t="s">
        <v>4961</v>
      </c>
      <c r="L58" s="10" t="s">
        <v>4962</v>
      </c>
      <c r="M58" s="10"/>
      <c r="N58" s="171"/>
      <c r="O58" s="171">
        <v>18</v>
      </c>
      <c r="P58" s="172">
        <f t="shared" si="19"/>
        <v>1864</v>
      </c>
      <c r="Q58" s="173" t="s">
        <v>2640</v>
      </c>
      <c r="R58" s="41" t="s">
        <v>14</v>
      </c>
      <c r="S58" s="41" t="s">
        <v>4210</v>
      </c>
      <c r="T58" s="41" t="s">
        <v>4211</v>
      </c>
      <c r="U58" s="5" t="s">
        <v>4963</v>
      </c>
      <c r="V58" s="264" t="s">
        <v>4920</v>
      </c>
      <c r="W58" s="5"/>
      <c r="X58" s="5" t="s">
        <v>56</v>
      </c>
      <c r="Y58" s="5" t="s">
        <v>4891</v>
      </c>
      <c r="Z58" s="5" t="s">
        <v>4207</v>
      </c>
      <c r="AA58" s="178">
        <f t="shared" si="20"/>
        <v>1882</v>
      </c>
    </row>
  </sheetData>
  <phoneticPr fontId="19" type="noConversion"/>
  <hyperlinks>
    <hyperlink ref="AA1" location="'Все найденные персоны'!G3" display="Год св-бы" xr:uid="{38E6C1EE-E813-47E1-B179-83E3B7AA46FB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N31"/>
  <sheetViews>
    <sheetView workbookViewId="0">
      <pane ySplit="1" topLeftCell="A5" activePane="bottomLeft" state="frozen"/>
      <selection pane="bottomLeft" activeCell="N31" sqref="N31"/>
    </sheetView>
  </sheetViews>
  <sheetFormatPr defaultRowHeight="15"/>
  <cols>
    <col min="1" max="1" width="16.28515625" customWidth="1"/>
    <col min="2" max="2" width="15" style="53" bestFit="1" customWidth="1"/>
    <col min="3" max="3" width="14.28515625" style="169" customWidth="1"/>
    <col min="4" max="4" width="18.7109375" bestFit="1" customWidth="1"/>
    <col min="5" max="5" width="37.7109375" style="31" bestFit="1" customWidth="1"/>
    <col min="6" max="6" width="10.28515625" style="12" bestFit="1" customWidth="1"/>
    <col min="7" max="7" width="17.85546875" customWidth="1"/>
    <col min="8" max="8" width="16" customWidth="1"/>
    <col min="9" max="9" width="29.85546875" customWidth="1"/>
    <col min="10" max="10" width="25.28515625" customWidth="1"/>
    <col min="11" max="11" width="12.85546875" customWidth="1"/>
    <col min="12" max="12" width="24.28515625" customWidth="1"/>
    <col min="13" max="13" width="21.7109375" customWidth="1"/>
    <col min="14" max="14" width="9.140625" style="12"/>
  </cols>
  <sheetData>
    <row r="1" spans="1:14" ht="15.75" thickBot="1">
      <c r="A1" s="77" t="s">
        <v>86</v>
      </c>
      <c r="B1" s="166" t="s">
        <v>46</v>
      </c>
      <c r="C1" s="51" t="s">
        <v>41</v>
      </c>
      <c r="D1" s="77" t="s">
        <v>42</v>
      </c>
      <c r="E1" s="60" t="s">
        <v>43</v>
      </c>
      <c r="F1" s="62" t="s">
        <v>44</v>
      </c>
      <c r="G1" s="59" t="s">
        <v>45</v>
      </c>
      <c r="H1" s="59" t="s">
        <v>2633</v>
      </c>
      <c r="I1" s="59" t="s">
        <v>2634</v>
      </c>
      <c r="J1" s="59" t="s">
        <v>2712</v>
      </c>
      <c r="K1" s="59" t="s">
        <v>3987</v>
      </c>
      <c r="L1" s="59" t="s">
        <v>49</v>
      </c>
      <c r="M1" s="61" t="s">
        <v>23</v>
      </c>
      <c r="N1" s="247" t="s">
        <v>0</v>
      </c>
    </row>
    <row r="2" spans="1:14">
      <c r="A2" s="78">
        <v>8</v>
      </c>
      <c r="B2" s="167">
        <v>1841</v>
      </c>
      <c r="C2" s="51">
        <v>1843</v>
      </c>
      <c r="D2" s="78" t="s">
        <v>2439</v>
      </c>
      <c r="E2" s="58" t="s">
        <v>4362</v>
      </c>
      <c r="F2" s="63" t="s">
        <v>2631</v>
      </c>
      <c r="G2" s="57" t="s">
        <v>2632</v>
      </c>
      <c r="H2" s="57" t="s">
        <v>2635</v>
      </c>
      <c r="I2" s="57" t="s">
        <v>4363</v>
      </c>
      <c r="J2" s="6">
        <v>1904</v>
      </c>
      <c r="K2" s="57" t="s">
        <v>48</v>
      </c>
      <c r="L2" s="57" t="s">
        <v>50</v>
      </c>
      <c r="M2" s="57" t="s">
        <v>2636</v>
      </c>
      <c r="N2" s="12">
        <f t="shared" ref="N2:N25" si="0">IF(ISTEXT(B2),VALUE(RIGHT(B2,4)),YEAR(B2))</f>
        <v>1905</v>
      </c>
    </row>
    <row r="3" spans="1:14">
      <c r="A3" s="7">
        <v>10</v>
      </c>
      <c r="B3" s="168">
        <v>1843</v>
      </c>
      <c r="C3" s="51">
        <v>1845</v>
      </c>
      <c r="D3" s="7" t="s">
        <v>2439</v>
      </c>
      <c r="E3" s="29" t="s">
        <v>4346</v>
      </c>
      <c r="F3" s="11" t="s">
        <v>2639</v>
      </c>
      <c r="G3" s="6" t="s">
        <v>51</v>
      </c>
      <c r="H3" s="6" t="s">
        <v>2635</v>
      </c>
      <c r="I3" s="6" t="s">
        <v>4227</v>
      </c>
      <c r="J3" s="6">
        <v>1904</v>
      </c>
      <c r="K3" s="6" t="s">
        <v>2640</v>
      </c>
      <c r="L3" s="6" t="s">
        <v>56</v>
      </c>
      <c r="M3" s="6" t="s">
        <v>2636</v>
      </c>
      <c r="N3" s="12">
        <f t="shared" si="0"/>
        <v>1905</v>
      </c>
    </row>
    <row r="4" spans="1:14">
      <c r="A4" s="7">
        <v>17</v>
      </c>
      <c r="B4" s="168">
        <v>1868</v>
      </c>
      <c r="C4" s="51">
        <v>1869</v>
      </c>
      <c r="D4" s="7" t="s">
        <v>2439</v>
      </c>
      <c r="E4" s="29" t="s">
        <v>4364</v>
      </c>
      <c r="F4" s="11">
        <v>4</v>
      </c>
      <c r="G4" s="6" t="s">
        <v>51</v>
      </c>
      <c r="H4" s="6" t="s">
        <v>2635</v>
      </c>
      <c r="I4" s="6" t="s">
        <v>4354</v>
      </c>
      <c r="J4" s="11" t="str">
        <f>N4-F4-1&amp;"/"&amp;N4-F4</f>
        <v>1900/1901</v>
      </c>
      <c r="K4" s="6" t="s">
        <v>2640</v>
      </c>
      <c r="L4" s="6" t="s">
        <v>56</v>
      </c>
      <c r="M4" s="6" t="s">
        <v>2641</v>
      </c>
      <c r="N4" s="12">
        <f t="shared" si="0"/>
        <v>1905</v>
      </c>
    </row>
    <row r="5" spans="1:14">
      <c r="A5" s="7">
        <v>26</v>
      </c>
      <c r="B5" s="168">
        <v>1891</v>
      </c>
      <c r="C5" s="51">
        <v>1892</v>
      </c>
      <c r="D5" s="7" t="s">
        <v>2431</v>
      </c>
      <c r="E5" s="29" t="s">
        <v>4605</v>
      </c>
      <c r="F5" s="11">
        <v>6</v>
      </c>
      <c r="G5" s="6"/>
      <c r="H5" s="6" t="s">
        <v>2635</v>
      </c>
      <c r="I5" s="6" t="s">
        <v>4606</v>
      </c>
      <c r="J5" s="11" t="str">
        <f>N5-F5-1&amp;"/"&amp;N5-F5</f>
        <v>1898/1899</v>
      </c>
      <c r="K5" s="6" t="s">
        <v>2640</v>
      </c>
      <c r="L5" s="6" t="s">
        <v>56</v>
      </c>
      <c r="M5" s="6" t="s">
        <v>2642</v>
      </c>
      <c r="N5" s="12">
        <f t="shared" si="0"/>
        <v>1905</v>
      </c>
    </row>
    <row r="6" spans="1:14">
      <c r="A6" s="7">
        <v>30</v>
      </c>
      <c r="B6" s="168">
        <v>1920</v>
      </c>
      <c r="C6" s="51">
        <v>1921</v>
      </c>
      <c r="D6" s="7" t="s">
        <v>2439</v>
      </c>
      <c r="E6" s="29" t="s">
        <v>4607</v>
      </c>
      <c r="F6" s="11">
        <v>27</v>
      </c>
      <c r="G6" s="6" t="s">
        <v>2643</v>
      </c>
      <c r="H6" s="6" t="s">
        <v>2644</v>
      </c>
      <c r="I6" s="6" t="s">
        <v>4581</v>
      </c>
      <c r="J6" s="11" t="str">
        <f>N6-F6-1&amp;"/"&amp;N6-F6</f>
        <v>1877/1878</v>
      </c>
      <c r="K6" s="6" t="s">
        <v>48</v>
      </c>
      <c r="L6" s="6" t="s">
        <v>56</v>
      </c>
      <c r="M6" s="6" t="s">
        <v>2645</v>
      </c>
      <c r="N6" s="12">
        <f t="shared" si="0"/>
        <v>1905</v>
      </c>
    </row>
    <row r="7" spans="1:14">
      <c r="A7" s="7">
        <v>47</v>
      </c>
      <c r="B7" s="168">
        <v>1945</v>
      </c>
      <c r="C7" s="51">
        <v>1946</v>
      </c>
      <c r="D7" s="7" t="s">
        <v>2439</v>
      </c>
      <c r="E7" s="29" t="s">
        <v>4730</v>
      </c>
      <c r="F7" s="11" t="s">
        <v>2646</v>
      </c>
      <c r="G7" s="6" t="s">
        <v>54</v>
      </c>
      <c r="H7" s="6" t="s">
        <v>2647</v>
      </c>
      <c r="I7" s="6" t="s">
        <v>4731</v>
      </c>
      <c r="J7" s="11">
        <v>1905</v>
      </c>
      <c r="K7" s="6" t="s">
        <v>18</v>
      </c>
      <c r="L7" s="6" t="s">
        <v>50</v>
      </c>
      <c r="M7" s="6" t="s">
        <v>2650</v>
      </c>
      <c r="N7" s="12">
        <f t="shared" si="0"/>
        <v>1905</v>
      </c>
    </row>
    <row r="8" spans="1:14">
      <c r="A8" s="7">
        <v>51</v>
      </c>
      <c r="B8" s="168">
        <v>1950</v>
      </c>
      <c r="C8" s="51">
        <v>1951</v>
      </c>
      <c r="D8" s="7" t="s">
        <v>2439</v>
      </c>
      <c r="E8" s="29" t="s">
        <v>4608</v>
      </c>
      <c r="F8" s="11" t="s">
        <v>2653</v>
      </c>
      <c r="G8" s="6" t="s">
        <v>2651</v>
      </c>
      <c r="H8" s="6" t="s">
        <v>2652</v>
      </c>
      <c r="I8" s="6" t="s">
        <v>4569</v>
      </c>
      <c r="J8" s="11">
        <v>1904</v>
      </c>
      <c r="K8" s="6" t="s">
        <v>2640</v>
      </c>
      <c r="L8" s="6" t="s">
        <v>50</v>
      </c>
      <c r="M8" s="6" t="s">
        <v>2654</v>
      </c>
      <c r="N8" s="12">
        <f t="shared" si="0"/>
        <v>1905</v>
      </c>
    </row>
    <row r="9" spans="1:14">
      <c r="A9" s="7">
        <v>54</v>
      </c>
      <c r="B9" s="168">
        <v>1956</v>
      </c>
      <c r="C9" s="51">
        <v>1957</v>
      </c>
      <c r="D9" s="7" t="s">
        <v>2439</v>
      </c>
      <c r="E9" s="29" t="s">
        <v>4790</v>
      </c>
      <c r="F9" s="11" t="s">
        <v>808</v>
      </c>
      <c r="G9" s="6" t="s">
        <v>57</v>
      </c>
      <c r="H9" s="6"/>
      <c r="I9" s="6"/>
      <c r="J9" s="11" t="str">
        <f>1905-89&amp;"-"&amp;1905-80</f>
        <v>1816-1825</v>
      </c>
      <c r="K9" s="6" t="s">
        <v>2640</v>
      </c>
      <c r="L9" s="6" t="s">
        <v>50</v>
      </c>
      <c r="M9" s="6" t="s">
        <v>2656</v>
      </c>
      <c r="N9" s="12">
        <f t="shared" si="0"/>
        <v>1905</v>
      </c>
    </row>
    <row r="10" spans="1:14">
      <c r="A10" s="7">
        <v>58</v>
      </c>
      <c r="B10" s="168">
        <v>1956</v>
      </c>
      <c r="C10" s="51">
        <v>1957</v>
      </c>
      <c r="D10" s="7" t="s">
        <v>2439</v>
      </c>
      <c r="E10" s="29" t="s">
        <v>4365</v>
      </c>
      <c r="F10" s="11">
        <v>4</v>
      </c>
      <c r="G10" s="6" t="s">
        <v>2651</v>
      </c>
      <c r="H10" s="6" t="s">
        <v>2635</v>
      </c>
      <c r="I10" s="6" t="s">
        <v>4240</v>
      </c>
      <c r="J10" s="11" t="str">
        <f>N10-F10-1&amp;"/"&amp;N10-F10</f>
        <v>1900/1901</v>
      </c>
      <c r="K10" s="6" t="s">
        <v>2640</v>
      </c>
      <c r="L10" s="6" t="s">
        <v>56</v>
      </c>
      <c r="M10" s="6" t="s">
        <v>2656</v>
      </c>
      <c r="N10" s="12">
        <f t="shared" si="0"/>
        <v>1905</v>
      </c>
    </row>
    <row r="11" spans="1:14">
      <c r="A11" s="7">
        <v>59</v>
      </c>
      <c r="B11" s="168">
        <v>1961</v>
      </c>
      <c r="C11" s="51">
        <v>1962</v>
      </c>
      <c r="D11" s="7" t="s">
        <v>2439</v>
      </c>
      <c r="E11" s="29" t="s">
        <v>4366</v>
      </c>
      <c r="F11" s="11">
        <v>0.5</v>
      </c>
      <c r="G11" s="6" t="s">
        <v>2651</v>
      </c>
      <c r="H11" s="6" t="s">
        <v>2635</v>
      </c>
      <c r="I11" s="6" t="s">
        <v>4240</v>
      </c>
      <c r="J11" s="11" t="str">
        <f>N11-F11-1&amp;"/"&amp;N11-F11</f>
        <v>1903,5/1904,5</v>
      </c>
      <c r="K11" s="6" t="s">
        <v>2640</v>
      </c>
      <c r="L11" s="6" t="s">
        <v>56</v>
      </c>
      <c r="M11" s="6" t="s">
        <v>2656</v>
      </c>
      <c r="N11" s="12">
        <f t="shared" si="0"/>
        <v>1905</v>
      </c>
    </row>
    <row r="12" spans="1:14">
      <c r="A12" s="7">
        <v>55</v>
      </c>
      <c r="B12" s="168">
        <v>1970</v>
      </c>
      <c r="C12" s="51">
        <v>1971</v>
      </c>
      <c r="D12" s="7" t="s">
        <v>2439</v>
      </c>
      <c r="E12" s="29" t="s">
        <v>4367</v>
      </c>
      <c r="F12" s="11">
        <v>6</v>
      </c>
      <c r="G12" s="6" t="s">
        <v>2651</v>
      </c>
      <c r="H12" s="6" t="s">
        <v>2647</v>
      </c>
      <c r="I12" s="6" t="s">
        <v>4327</v>
      </c>
      <c r="J12" s="11" t="str">
        <f>N12-F12-1&amp;"/"&amp;N12-F12</f>
        <v>1898/1899</v>
      </c>
      <c r="K12" s="6" t="s">
        <v>2640</v>
      </c>
      <c r="L12" s="6" t="s">
        <v>56</v>
      </c>
      <c r="M12" s="6" t="s">
        <v>2657</v>
      </c>
      <c r="N12" s="12">
        <f t="shared" si="0"/>
        <v>1905</v>
      </c>
    </row>
    <row r="13" spans="1:14">
      <c r="A13" s="7">
        <v>64</v>
      </c>
      <c r="B13" s="168">
        <v>1974</v>
      </c>
      <c r="C13" s="51">
        <v>1975</v>
      </c>
      <c r="D13" s="7" t="s">
        <v>2439</v>
      </c>
      <c r="E13" s="29" t="s">
        <v>4368</v>
      </c>
      <c r="F13" s="11">
        <v>6</v>
      </c>
      <c r="G13" s="6" t="s">
        <v>2651</v>
      </c>
      <c r="H13" s="6" t="s">
        <v>2635</v>
      </c>
      <c r="I13" s="6" t="s">
        <v>4328</v>
      </c>
      <c r="J13" s="11" t="str">
        <f>N13-F13-1&amp;"/"&amp;N13-F13</f>
        <v>1898/1899</v>
      </c>
      <c r="K13" s="6" t="s">
        <v>2640</v>
      </c>
      <c r="L13" s="6" t="s">
        <v>56</v>
      </c>
      <c r="M13" s="6" t="s">
        <v>2658</v>
      </c>
      <c r="N13" s="12">
        <f t="shared" si="0"/>
        <v>1905</v>
      </c>
    </row>
    <row r="14" spans="1:14">
      <c r="A14" s="7">
        <v>57</v>
      </c>
      <c r="B14" s="168">
        <v>1975</v>
      </c>
      <c r="C14" s="51">
        <v>1976</v>
      </c>
      <c r="D14" s="7" t="s">
        <v>2439</v>
      </c>
      <c r="E14" s="29" t="s">
        <v>4369</v>
      </c>
      <c r="F14" s="11">
        <v>2</v>
      </c>
      <c r="G14" s="6" t="s">
        <v>2651</v>
      </c>
      <c r="H14" s="6" t="s">
        <v>2647</v>
      </c>
      <c r="I14" s="6" t="s">
        <v>4256</v>
      </c>
      <c r="J14" s="11" t="str">
        <f>N14-F14-1&amp;"/"&amp;N14-F14</f>
        <v>1902/1903</v>
      </c>
      <c r="K14" s="6" t="s">
        <v>2640</v>
      </c>
      <c r="L14" s="6" t="s">
        <v>56</v>
      </c>
      <c r="M14" s="6" t="s">
        <v>2658</v>
      </c>
      <c r="N14" s="12">
        <f t="shared" si="0"/>
        <v>1905</v>
      </c>
    </row>
    <row r="15" spans="1:14">
      <c r="A15" s="7">
        <v>89</v>
      </c>
      <c r="B15" s="168">
        <v>2028</v>
      </c>
      <c r="C15" s="51">
        <v>2029</v>
      </c>
      <c r="D15" s="7" t="s">
        <v>2439</v>
      </c>
      <c r="E15" s="29" t="s">
        <v>4532</v>
      </c>
      <c r="F15" s="11" t="s">
        <v>2659</v>
      </c>
      <c r="G15" s="6" t="s">
        <v>2637</v>
      </c>
      <c r="H15" s="6" t="s">
        <v>2635</v>
      </c>
      <c r="I15" s="6" t="s">
        <v>4533</v>
      </c>
      <c r="J15" s="11">
        <v>1905</v>
      </c>
      <c r="K15" s="6" t="s">
        <v>18</v>
      </c>
      <c r="L15" s="6" t="s">
        <v>56</v>
      </c>
      <c r="M15" s="6" t="s">
        <v>2660</v>
      </c>
      <c r="N15" s="12">
        <f t="shared" si="0"/>
        <v>1905</v>
      </c>
    </row>
    <row r="16" spans="1:14">
      <c r="A16" s="7">
        <v>80</v>
      </c>
      <c r="B16" s="168">
        <v>2039</v>
      </c>
      <c r="C16" s="51">
        <v>2040</v>
      </c>
      <c r="D16" s="7" t="s">
        <v>2439</v>
      </c>
      <c r="E16" s="29" t="s">
        <v>4370</v>
      </c>
      <c r="F16" s="11" t="s">
        <v>2664</v>
      </c>
      <c r="G16" s="6" t="s">
        <v>2637</v>
      </c>
      <c r="H16" s="6" t="s">
        <v>2665</v>
      </c>
      <c r="I16" s="6" t="s">
        <v>4253</v>
      </c>
      <c r="J16" s="11">
        <v>1905</v>
      </c>
      <c r="K16" s="6" t="s">
        <v>18</v>
      </c>
      <c r="L16" s="6" t="s">
        <v>56</v>
      </c>
      <c r="M16" s="6" t="s">
        <v>2662</v>
      </c>
      <c r="N16" s="12">
        <f t="shared" si="0"/>
        <v>1905</v>
      </c>
    </row>
    <row r="17" spans="1:14">
      <c r="A17" s="7">
        <v>106</v>
      </c>
      <c r="B17" s="168">
        <v>2056</v>
      </c>
      <c r="C17" s="51">
        <v>2057</v>
      </c>
      <c r="D17" s="7" t="s">
        <v>2439</v>
      </c>
      <c r="E17" s="29" t="s">
        <v>4791</v>
      </c>
      <c r="F17" s="11">
        <v>13</v>
      </c>
      <c r="G17" s="6" t="s">
        <v>2666</v>
      </c>
      <c r="H17" s="6" t="s">
        <v>2667</v>
      </c>
      <c r="I17" s="6" t="s">
        <v>4717</v>
      </c>
      <c r="J17" s="11" t="str">
        <f>N17-F17-1&amp;"/"&amp;N17-F17</f>
        <v>1891/1892</v>
      </c>
      <c r="K17" s="6" t="s">
        <v>2640</v>
      </c>
      <c r="L17" s="6" t="s">
        <v>56</v>
      </c>
      <c r="M17" s="6" t="s">
        <v>2668</v>
      </c>
      <c r="N17" s="12">
        <f t="shared" si="0"/>
        <v>1905</v>
      </c>
    </row>
    <row r="18" spans="1:14">
      <c r="A18" s="7">
        <v>94</v>
      </c>
      <c r="B18" s="168">
        <v>2058</v>
      </c>
      <c r="C18" s="51">
        <v>2059</v>
      </c>
      <c r="D18" s="7" t="s">
        <v>2439</v>
      </c>
      <c r="E18" s="29" t="s">
        <v>4609</v>
      </c>
      <c r="F18" s="11" t="s">
        <v>51</v>
      </c>
      <c r="G18" s="6" t="s">
        <v>2637</v>
      </c>
      <c r="H18" s="6" t="s">
        <v>2647</v>
      </c>
      <c r="I18" s="6" t="s">
        <v>4581</v>
      </c>
      <c r="J18" s="11" t="s">
        <v>51</v>
      </c>
      <c r="K18" s="6" t="s">
        <v>2640</v>
      </c>
      <c r="L18" s="6" t="s">
        <v>56</v>
      </c>
      <c r="M18" s="6" t="s">
        <v>2669</v>
      </c>
      <c r="N18" s="12">
        <f t="shared" si="0"/>
        <v>1905</v>
      </c>
    </row>
    <row r="19" spans="1:14">
      <c r="A19" s="7">
        <v>107</v>
      </c>
      <c r="B19" s="168">
        <v>2077</v>
      </c>
      <c r="C19" s="51">
        <v>2079</v>
      </c>
      <c r="D19" s="7" t="s">
        <v>2439</v>
      </c>
      <c r="E19" s="29" t="s">
        <v>4610</v>
      </c>
      <c r="F19" s="11">
        <v>3</v>
      </c>
      <c r="G19" s="6" t="s">
        <v>2666</v>
      </c>
      <c r="H19" s="6" t="s">
        <v>2647</v>
      </c>
      <c r="I19" s="6" t="s">
        <v>4611</v>
      </c>
      <c r="J19" s="11" t="str">
        <f>N19-F19-1&amp;"/"&amp;N19-F19</f>
        <v>1901/1902</v>
      </c>
      <c r="K19" s="6" t="s">
        <v>2640</v>
      </c>
      <c r="L19" s="6" t="s">
        <v>56</v>
      </c>
      <c r="M19" s="6" t="s">
        <v>2670</v>
      </c>
      <c r="N19" s="12">
        <f t="shared" si="0"/>
        <v>1905</v>
      </c>
    </row>
    <row r="20" spans="1:14">
      <c r="A20" s="7">
        <v>136</v>
      </c>
      <c r="B20" s="168">
        <v>2099</v>
      </c>
      <c r="C20" s="51">
        <v>2100</v>
      </c>
      <c r="D20" s="7" t="s">
        <v>2431</v>
      </c>
      <c r="E20" s="29" t="s">
        <v>4530</v>
      </c>
      <c r="F20" s="11" t="s">
        <v>2671</v>
      </c>
      <c r="G20" s="6"/>
      <c r="H20" s="6" t="s">
        <v>2672</v>
      </c>
      <c r="I20" s="6" t="s">
        <v>4612</v>
      </c>
      <c r="J20" s="11">
        <v>1905</v>
      </c>
      <c r="K20" s="6" t="s">
        <v>18</v>
      </c>
      <c r="L20" s="6" t="s">
        <v>56</v>
      </c>
      <c r="M20" s="6" t="s">
        <v>2673</v>
      </c>
      <c r="N20" s="12">
        <f t="shared" si="0"/>
        <v>1905</v>
      </c>
    </row>
    <row r="21" spans="1:14">
      <c r="A21" s="7">
        <v>122</v>
      </c>
      <c r="B21" s="168">
        <v>2102</v>
      </c>
      <c r="C21" s="51">
        <v>2103</v>
      </c>
      <c r="D21" s="7" t="s">
        <v>2439</v>
      </c>
      <c r="E21" s="68" t="s">
        <v>4613</v>
      </c>
      <c r="F21" s="11">
        <v>2</v>
      </c>
      <c r="G21" s="6" t="s">
        <v>2666</v>
      </c>
      <c r="H21" s="6" t="s">
        <v>2647</v>
      </c>
      <c r="I21" s="17" t="s">
        <v>4516</v>
      </c>
      <c r="J21" s="11">
        <v>1903</v>
      </c>
      <c r="K21" s="6" t="s">
        <v>2640</v>
      </c>
      <c r="L21" s="6" t="s">
        <v>18</v>
      </c>
      <c r="M21" s="6" t="s">
        <v>2676</v>
      </c>
      <c r="N21" s="12">
        <f t="shared" si="0"/>
        <v>1905</v>
      </c>
    </row>
    <row r="22" spans="1:14">
      <c r="A22" s="7">
        <v>131</v>
      </c>
      <c r="B22" s="168">
        <v>2119</v>
      </c>
      <c r="C22" s="51">
        <v>2120</v>
      </c>
      <c r="D22" s="7" t="s">
        <v>2439</v>
      </c>
      <c r="E22" s="29" t="s">
        <v>4371</v>
      </c>
      <c r="F22" s="11" t="s">
        <v>51</v>
      </c>
      <c r="G22" s="6" t="s">
        <v>2637</v>
      </c>
      <c r="H22" s="6" t="s">
        <v>2647</v>
      </c>
      <c r="I22" s="6" t="s">
        <v>4330</v>
      </c>
      <c r="J22" s="11" t="s">
        <v>51</v>
      </c>
      <c r="K22" s="6" t="s">
        <v>48</v>
      </c>
      <c r="L22" s="6" t="s">
        <v>56</v>
      </c>
      <c r="M22" s="6" t="s">
        <v>2677</v>
      </c>
      <c r="N22" s="12">
        <f t="shared" si="0"/>
        <v>1905</v>
      </c>
    </row>
    <row r="23" spans="1:14">
      <c r="A23" s="7"/>
      <c r="B23" s="168">
        <v>7270</v>
      </c>
      <c r="C23" s="51">
        <v>7273</v>
      </c>
      <c r="D23" s="7" t="s">
        <v>2439</v>
      </c>
      <c r="E23" s="29" t="s">
        <v>4792</v>
      </c>
      <c r="F23" s="11">
        <v>92</v>
      </c>
      <c r="G23" s="6" t="s">
        <v>47</v>
      </c>
      <c r="H23" s="6"/>
      <c r="I23" s="6"/>
      <c r="J23" s="11" t="str">
        <f>N23-F23-1&amp;"/"&amp;N23-F23</f>
        <v>1826/1827</v>
      </c>
      <c r="K23" s="6" t="s">
        <v>48</v>
      </c>
      <c r="L23" s="6" t="s">
        <v>56</v>
      </c>
      <c r="M23" s="6" t="s">
        <v>53</v>
      </c>
      <c r="N23" s="12">
        <f t="shared" si="0"/>
        <v>1919</v>
      </c>
    </row>
    <row r="24" spans="1:14">
      <c r="A24" s="7"/>
      <c r="B24" s="168">
        <v>7161</v>
      </c>
      <c r="C24" s="51">
        <v>7162</v>
      </c>
      <c r="D24" s="7" t="s">
        <v>2439</v>
      </c>
      <c r="E24" s="29" t="s">
        <v>4372</v>
      </c>
      <c r="F24" s="11">
        <v>0.5</v>
      </c>
      <c r="G24" s="6" t="s">
        <v>2637</v>
      </c>
      <c r="H24" s="6" t="s">
        <v>2635</v>
      </c>
      <c r="I24" s="6" t="s">
        <v>4373</v>
      </c>
      <c r="J24" s="11" t="str">
        <f>N24-F24-1&amp;"/"&amp;N24-F24</f>
        <v>1917,5/1918,5</v>
      </c>
      <c r="K24" s="6" t="s">
        <v>48</v>
      </c>
      <c r="L24" s="6" t="s">
        <v>2649</v>
      </c>
      <c r="M24" s="6" t="s">
        <v>52</v>
      </c>
      <c r="N24" s="12">
        <f t="shared" si="0"/>
        <v>1919</v>
      </c>
    </row>
    <row r="25" spans="1:14">
      <c r="A25" s="7"/>
      <c r="B25" s="168">
        <v>7245</v>
      </c>
      <c r="C25" s="51">
        <v>7245</v>
      </c>
      <c r="D25" s="7" t="s">
        <v>2439</v>
      </c>
      <c r="E25" s="29" t="s">
        <v>4240</v>
      </c>
      <c r="F25" s="11">
        <v>60</v>
      </c>
      <c r="G25" s="6" t="s">
        <v>57</v>
      </c>
      <c r="H25" s="6" t="s">
        <v>2638</v>
      </c>
      <c r="I25" s="6"/>
      <c r="J25" s="11" t="str">
        <f>N25-F25-1&amp;"/"&amp;N25-F25</f>
        <v>1858/1859</v>
      </c>
      <c r="K25" s="6" t="s">
        <v>48</v>
      </c>
      <c r="L25" s="6" t="s">
        <v>50</v>
      </c>
      <c r="M25" s="6" t="s">
        <v>58</v>
      </c>
      <c r="N25" s="12">
        <f t="shared" si="0"/>
        <v>1919</v>
      </c>
    </row>
    <row r="26" spans="1:14">
      <c r="A26" s="41">
        <v>16</v>
      </c>
      <c r="B26" s="52">
        <v>403</v>
      </c>
      <c r="C26" s="52">
        <v>405</v>
      </c>
      <c r="D26" s="40" t="s">
        <v>2439</v>
      </c>
      <c r="E26" s="235" t="s">
        <v>4281</v>
      </c>
      <c r="F26" s="236" t="s">
        <v>2639</v>
      </c>
      <c r="G26" s="40" t="s">
        <v>3936</v>
      </c>
      <c r="H26" s="40" t="s">
        <v>2647</v>
      </c>
      <c r="I26" s="40" t="s">
        <v>4270</v>
      </c>
      <c r="J26" s="236">
        <v>1900</v>
      </c>
      <c r="K26" s="40" t="s">
        <v>48</v>
      </c>
      <c r="L26" s="40" t="s">
        <v>50</v>
      </c>
      <c r="M26" s="40" t="s">
        <v>3935</v>
      </c>
      <c r="N26" s="237">
        <f t="shared" ref="N26:N31" si="1">IF(ISTEXT(B26),VALUE(RIGHT(B26,4)),YEAR(B26))</f>
        <v>1901</v>
      </c>
    </row>
    <row r="27" spans="1:14">
      <c r="A27" s="41">
        <v>36</v>
      </c>
      <c r="B27" s="52">
        <v>454</v>
      </c>
      <c r="C27" s="52">
        <v>456</v>
      </c>
      <c r="D27" s="40" t="s">
        <v>2439</v>
      </c>
      <c r="E27" s="235" t="s">
        <v>4874</v>
      </c>
      <c r="F27" s="236">
        <v>7</v>
      </c>
      <c r="G27" s="40" t="s">
        <v>2666</v>
      </c>
      <c r="H27" s="40" t="s">
        <v>2635</v>
      </c>
      <c r="I27" s="40" t="s">
        <v>4875</v>
      </c>
      <c r="J27" s="11" t="str">
        <f>N27-F27-1&amp;"/"&amp;N27-F27</f>
        <v>1893/1894</v>
      </c>
      <c r="K27" s="40" t="s">
        <v>48</v>
      </c>
      <c r="L27" s="40" t="s">
        <v>50</v>
      </c>
      <c r="M27" s="40" t="s">
        <v>3937</v>
      </c>
      <c r="N27" s="237">
        <f t="shared" si="1"/>
        <v>1901</v>
      </c>
    </row>
    <row r="28" spans="1:14">
      <c r="A28" s="41">
        <v>25</v>
      </c>
      <c r="B28" s="52">
        <v>1499</v>
      </c>
      <c r="C28" s="52">
        <v>1501</v>
      </c>
      <c r="D28" s="40" t="s">
        <v>2439</v>
      </c>
      <c r="E28" s="235" t="s">
        <v>4374</v>
      </c>
      <c r="F28" s="236">
        <v>17</v>
      </c>
      <c r="G28" s="40" t="s">
        <v>2643</v>
      </c>
      <c r="H28" s="40" t="s">
        <v>2635</v>
      </c>
      <c r="I28" s="40" t="s">
        <v>4327</v>
      </c>
      <c r="J28" s="11" t="str">
        <f>N28-F28-1&amp;"/"&amp;N28-F28</f>
        <v>1886/1887</v>
      </c>
      <c r="K28" s="40" t="s">
        <v>48</v>
      </c>
      <c r="L28" s="40" t="s">
        <v>50</v>
      </c>
      <c r="M28" s="40" t="s">
        <v>3988</v>
      </c>
      <c r="N28" s="237">
        <f t="shared" si="1"/>
        <v>1904</v>
      </c>
    </row>
    <row r="29" spans="1:14">
      <c r="A29" s="41">
        <v>20</v>
      </c>
      <c r="B29" s="52">
        <v>1501</v>
      </c>
      <c r="C29" s="52">
        <v>1503</v>
      </c>
      <c r="D29" s="40" t="s">
        <v>2442</v>
      </c>
      <c r="E29" s="235" t="s">
        <v>4793</v>
      </c>
      <c r="F29" s="236" t="s">
        <v>3989</v>
      </c>
      <c r="G29" s="40" t="s">
        <v>2651</v>
      </c>
      <c r="H29" s="40" t="s">
        <v>2647</v>
      </c>
      <c r="I29" s="40" t="s">
        <v>4734</v>
      </c>
      <c r="J29" s="11">
        <v>1903</v>
      </c>
      <c r="K29" s="40" t="s">
        <v>2640</v>
      </c>
      <c r="L29" s="40" t="s">
        <v>50</v>
      </c>
      <c r="M29" s="40" t="s">
        <v>3988</v>
      </c>
      <c r="N29" s="237">
        <f t="shared" si="1"/>
        <v>1904</v>
      </c>
    </row>
    <row r="30" spans="1:14">
      <c r="A30" s="41">
        <v>9</v>
      </c>
      <c r="B30" s="52" t="s">
        <v>4083</v>
      </c>
      <c r="C30" s="52" t="s">
        <v>4086</v>
      </c>
      <c r="D30" s="40" t="s">
        <v>2439</v>
      </c>
      <c r="E30" s="235" t="s">
        <v>4719</v>
      </c>
      <c r="F30" s="236" t="s">
        <v>4087</v>
      </c>
      <c r="G30" s="40" t="s">
        <v>3936</v>
      </c>
      <c r="H30" s="40" t="s">
        <v>2635</v>
      </c>
      <c r="I30" s="40" t="s">
        <v>4794</v>
      </c>
      <c r="J30" s="236">
        <v>1882</v>
      </c>
      <c r="K30" s="40" t="s">
        <v>18</v>
      </c>
      <c r="L30" s="40" t="s">
        <v>50</v>
      </c>
      <c r="M30" s="40" t="s">
        <v>4089</v>
      </c>
      <c r="N30" s="237">
        <f t="shared" si="1"/>
        <v>1883</v>
      </c>
    </row>
    <row r="31" spans="1:14">
      <c r="A31" s="41">
        <v>12</v>
      </c>
      <c r="B31" s="52" t="s">
        <v>4090</v>
      </c>
      <c r="C31" s="52" t="s">
        <v>4091</v>
      </c>
      <c r="D31" s="40" t="s">
        <v>2439</v>
      </c>
      <c r="E31" s="235" t="s">
        <v>4322</v>
      </c>
      <c r="F31" s="236" t="s">
        <v>2653</v>
      </c>
      <c r="G31" s="40" t="s">
        <v>4092</v>
      </c>
      <c r="H31" s="40" t="s">
        <v>2635</v>
      </c>
      <c r="I31" s="40" t="s">
        <v>4375</v>
      </c>
      <c r="J31" s="236">
        <v>1882</v>
      </c>
      <c r="K31" s="40" t="s">
        <v>18</v>
      </c>
      <c r="L31" s="40" t="s">
        <v>50</v>
      </c>
      <c r="M31" s="40" t="s">
        <v>4089</v>
      </c>
      <c r="N31" s="237">
        <f t="shared" si="1"/>
        <v>1883</v>
      </c>
    </row>
  </sheetData>
  <phoneticPr fontId="19" type="noConversion"/>
  <hyperlinks>
    <hyperlink ref="N1" location="'Все найденные персоны'!P3" display="Год" xr:uid="{F91F4456-E99E-44A8-BC81-0ECE4A7FBE57}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EDDA7-609B-4676-AF7A-7B91B45A6C87}">
  <sheetPr codeName="Лист10"/>
  <dimension ref="A1:J619"/>
  <sheetViews>
    <sheetView topLeftCell="A173" workbookViewId="0">
      <selection activeCell="E186" sqref="E186"/>
    </sheetView>
  </sheetViews>
  <sheetFormatPr defaultRowHeight="15"/>
  <cols>
    <col min="1" max="1" width="34.85546875" style="31" bestFit="1" customWidth="1"/>
    <col min="2" max="2" width="18.7109375" customWidth="1"/>
    <col min="3" max="3" width="10.85546875" customWidth="1"/>
    <col min="4" max="4" width="22.42578125" customWidth="1"/>
    <col min="6" max="6" width="11.42578125" customWidth="1"/>
    <col min="8" max="8" width="18.28515625" customWidth="1"/>
  </cols>
  <sheetData>
    <row r="1" spans="1:8">
      <c r="A1" s="31" t="s">
        <v>3296</v>
      </c>
      <c r="B1" t="s">
        <v>3882</v>
      </c>
      <c r="C1" t="s">
        <v>3289</v>
      </c>
      <c r="D1" t="s">
        <v>3907</v>
      </c>
      <c r="E1" t="s">
        <v>3290</v>
      </c>
      <c r="F1" t="s">
        <v>3291</v>
      </c>
      <c r="G1" t="s">
        <v>3547</v>
      </c>
      <c r="H1" t="s">
        <v>3366</v>
      </c>
    </row>
    <row r="2" spans="1:8">
      <c r="A2" s="31" t="s">
        <v>2724</v>
      </c>
      <c r="B2">
        <v>49</v>
      </c>
      <c r="C2">
        <v>1809</v>
      </c>
      <c r="D2" t="s">
        <v>2725</v>
      </c>
      <c r="E2" t="s">
        <v>2726</v>
      </c>
      <c r="F2" t="s">
        <v>2727</v>
      </c>
      <c r="H2">
        <v>1858</v>
      </c>
    </row>
    <row r="3" spans="1:8">
      <c r="A3" s="31" t="s">
        <v>2728</v>
      </c>
      <c r="B3">
        <v>64</v>
      </c>
      <c r="C3">
        <v>1794</v>
      </c>
      <c r="D3" t="s">
        <v>2729</v>
      </c>
      <c r="E3" t="s">
        <v>2730</v>
      </c>
      <c r="F3" t="s">
        <v>2731</v>
      </c>
      <c r="H3">
        <v>1858</v>
      </c>
    </row>
    <row r="4" spans="1:8">
      <c r="A4" s="31" t="s">
        <v>2732</v>
      </c>
      <c r="B4">
        <v>45</v>
      </c>
      <c r="C4">
        <v>1805</v>
      </c>
      <c r="D4" t="s">
        <v>2733</v>
      </c>
      <c r="E4" t="s">
        <v>2734</v>
      </c>
      <c r="F4" t="s">
        <v>2735</v>
      </c>
      <c r="G4" t="s">
        <v>3277</v>
      </c>
      <c r="H4">
        <v>1858</v>
      </c>
    </row>
    <row r="5" spans="1:8">
      <c r="A5" s="31" t="s">
        <v>2736</v>
      </c>
      <c r="B5">
        <v>57</v>
      </c>
      <c r="C5">
        <v>1801</v>
      </c>
      <c r="D5" t="s">
        <v>2737</v>
      </c>
      <c r="E5" t="s">
        <v>2734</v>
      </c>
      <c r="F5" t="s">
        <v>2738</v>
      </c>
      <c r="H5">
        <v>1858</v>
      </c>
    </row>
    <row r="6" spans="1:8">
      <c r="A6" s="31" t="s">
        <v>2739</v>
      </c>
      <c r="B6">
        <v>30</v>
      </c>
      <c r="C6">
        <v>1828</v>
      </c>
      <c r="D6" t="s">
        <v>2740</v>
      </c>
      <c r="E6" t="s">
        <v>2741</v>
      </c>
      <c r="F6" t="s">
        <v>2742</v>
      </c>
      <c r="H6">
        <v>1858</v>
      </c>
    </row>
    <row r="7" spans="1:8">
      <c r="A7" s="31" t="s">
        <v>971</v>
      </c>
      <c r="B7">
        <v>71</v>
      </c>
      <c r="C7">
        <v>1787</v>
      </c>
      <c r="D7" t="s">
        <v>2743</v>
      </c>
      <c r="E7" t="s">
        <v>2741</v>
      </c>
      <c r="F7" t="s">
        <v>2744</v>
      </c>
      <c r="H7">
        <v>1858</v>
      </c>
    </row>
    <row r="8" spans="1:8">
      <c r="A8" s="31" t="s">
        <v>4304</v>
      </c>
      <c r="B8">
        <v>51</v>
      </c>
      <c r="C8">
        <v>1807</v>
      </c>
      <c r="D8" t="s">
        <v>2745</v>
      </c>
      <c r="E8" t="s">
        <v>2746</v>
      </c>
      <c r="F8" t="s">
        <v>2747</v>
      </c>
      <c r="H8">
        <v>1858</v>
      </c>
    </row>
    <row r="9" spans="1:8">
      <c r="A9" s="31" t="s">
        <v>4376</v>
      </c>
      <c r="B9">
        <v>44</v>
      </c>
      <c r="C9">
        <v>1814</v>
      </c>
      <c r="D9" t="s">
        <v>2748</v>
      </c>
      <c r="E9" t="s">
        <v>2749</v>
      </c>
      <c r="F9" t="s">
        <v>2750</v>
      </c>
      <c r="H9">
        <v>1858</v>
      </c>
    </row>
    <row r="10" spans="1:8">
      <c r="A10" s="31" t="s">
        <v>4377</v>
      </c>
      <c r="B10">
        <v>63</v>
      </c>
      <c r="C10">
        <v>1795</v>
      </c>
      <c r="D10" t="s">
        <v>2751</v>
      </c>
      <c r="E10" t="s">
        <v>2752</v>
      </c>
      <c r="F10" t="s">
        <v>2753</v>
      </c>
      <c r="H10">
        <v>1858</v>
      </c>
    </row>
    <row r="11" spans="1:8">
      <c r="A11" s="31" t="s">
        <v>4378</v>
      </c>
      <c r="B11">
        <v>60</v>
      </c>
      <c r="C11">
        <v>1790</v>
      </c>
      <c r="D11" t="s">
        <v>2754</v>
      </c>
      <c r="E11" t="s">
        <v>2752</v>
      </c>
      <c r="F11" t="s">
        <v>2755</v>
      </c>
      <c r="G11" t="s">
        <v>3278</v>
      </c>
      <c r="H11">
        <v>1858</v>
      </c>
    </row>
    <row r="12" spans="1:8">
      <c r="A12" s="31" t="s">
        <v>4379</v>
      </c>
      <c r="B12">
        <v>59</v>
      </c>
      <c r="C12">
        <v>1799</v>
      </c>
      <c r="D12" t="s">
        <v>2756</v>
      </c>
      <c r="E12" t="s">
        <v>2757</v>
      </c>
      <c r="F12" t="s">
        <v>2758</v>
      </c>
      <c r="H12">
        <v>1858</v>
      </c>
    </row>
    <row r="13" spans="1:8">
      <c r="A13" s="31" t="s">
        <v>4380</v>
      </c>
      <c r="B13">
        <v>39</v>
      </c>
      <c r="C13">
        <v>1819</v>
      </c>
      <c r="D13" t="s">
        <v>2759</v>
      </c>
      <c r="E13" t="s">
        <v>2757</v>
      </c>
      <c r="F13" t="s">
        <v>2760</v>
      </c>
      <c r="H13">
        <v>1858</v>
      </c>
    </row>
    <row r="14" spans="1:8">
      <c r="A14" s="31" t="s">
        <v>4381</v>
      </c>
      <c r="B14">
        <v>50</v>
      </c>
      <c r="C14">
        <v>1800</v>
      </c>
      <c r="D14" t="s">
        <v>2761</v>
      </c>
      <c r="E14" t="s">
        <v>2762</v>
      </c>
      <c r="F14" t="s">
        <v>2763</v>
      </c>
      <c r="G14" t="s">
        <v>3279</v>
      </c>
      <c r="H14">
        <v>1858</v>
      </c>
    </row>
    <row r="15" spans="1:8">
      <c r="A15" s="161" t="s">
        <v>4323</v>
      </c>
      <c r="B15" s="157">
        <v>23</v>
      </c>
      <c r="C15" s="157">
        <v>1835</v>
      </c>
      <c r="D15" s="157" t="s">
        <v>2764</v>
      </c>
      <c r="E15" s="157" t="s">
        <v>2765</v>
      </c>
      <c r="F15" s="157" t="s">
        <v>2766</v>
      </c>
      <c r="G15" s="157"/>
      <c r="H15">
        <v>1858</v>
      </c>
    </row>
    <row r="16" spans="1:8">
      <c r="A16" s="161" t="s">
        <v>4309</v>
      </c>
      <c r="B16" s="158">
        <v>1</v>
      </c>
      <c r="C16" s="158">
        <f>1858-Рев_tb[[#This Row],[Воз-т на момент переписи или предыдущей]]</f>
        <v>1857</v>
      </c>
      <c r="D16" s="158"/>
      <c r="E16" s="158"/>
      <c r="F16" s="158" t="s">
        <v>2635</v>
      </c>
      <c r="G16" s="158"/>
      <c r="H16">
        <v>1858</v>
      </c>
    </row>
    <row r="17" spans="1:8">
      <c r="A17" s="161" t="s">
        <v>4382</v>
      </c>
      <c r="B17" s="158">
        <v>21</v>
      </c>
      <c r="C17" s="158">
        <f>1858-Рев_tb[[#This Row],[Воз-т на момент переписи или предыдущей]]</f>
        <v>1837</v>
      </c>
      <c r="D17" s="158"/>
      <c r="E17" s="158"/>
      <c r="F17" s="158" t="s">
        <v>3352</v>
      </c>
      <c r="G17" s="158"/>
      <c r="H17">
        <v>1858</v>
      </c>
    </row>
    <row r="18" spans="1:8">
      <c r="A18" s="161" t="s">
        <v>4383</v>
      </c>
      <c r="B18" s="158">
        <v>48</v>
      </c>
      <c r="C18" s="158">
        <f>1858-Рев_tb[[#This Row],[Воз-т на момент переписи или предыдущей]]</f>
        <v>1810</v>
      </c>
      <c r="D18" s="158"/>
      <c r="E18" s="158"/>
      <c r="F18" s="158" t="s">
        <v>4384</v>
      </c>
      <c r="G18" s="158"/>
      <c r="H18">
        <v>1858</v>
      </c>
    </row>
    <row r="19" spans="1:8">
      <c r="A19" s="161" t="s">
        <v>4385</v>
      </c>
      <c r="B19" s="158">
        <v>40</v>
      </c>
      <c r="C19" s="158">
        <f>1858-Рев_tb[[#This Row],[Воз-т на момент переписи или предыдущей]]</f>
        <v>1818</v>
      </c>
      <c r="D19" s="158"/>
      <c r="E19" s="158"/>
      <c r="F19" s="158" t="s">
        <v>3353</v>
      </c>
      <c r="G19" s="158"/>
      <c r="H19">
        <v>1858</v>
      </c>
    </row>
    <row r="20" spans="1:8">
      <c r="A20" s="161" t="s">
        <v>4386</v>
      </c>
      <c r="B20" s="158">
        <v>24</v>
      </c>
      <c r="C20" s="158">
        <f>1858-Рев_tb[[#This Row],[Воз-т на момент переписи или предыдущей]]</f>
        <v>1834</v>
      </c>
      <c r="D20" s="158"/>
      <c r="E20" s="158"/>
      <c r="F20" s="158" t="s">
        <v>3354</v>
      </c>
      <c r="G20" s="158"/>
      <c r="H20">
        <v>1858</v>
      </c>
    </row>
    <row r="21" spans="1:8">
      <c r="A21" s="161" t="s">
        <v>4387</v>
      </c>
      <c r="B21" s="158">
        <v>47</v>
      </c>
      <c r="C21" s="158">
        <f>1858-Рев_tb[[#This Row],[Воз-т на момент переписи или предыдущей]]</f>
        <v>1811</v>
      </c>
      <c r="D21" s="158"/>
      <c r="E21" s="158"/>
      <c r="F21" s="158" t="s">
        <v>3355</v>
      </c>
      <c r="G21" s="158"/>
      <c r="H21">
        <v>1858</v>
      </c>
    </row>
    <row r="22" spans="1:8">
      <c r="A22" s="161" t="s">
        <v>4388</v>
      </c>
      <c r="B22" s="158">
        <v>17</v>
      </c>
      <c r="C22" s="158">
        <f>1858-Рев_tb[[#This Row],[Воз-т на момент переписи или предыдущей]]</f>
        <v>1841</v>
      </c>
      <c r="D22" s="158"/>
      <c r="E22" s="158"/>
      <c r="F22" s="158" t="s">
        <v>3356</v>
      </c>
      <c r="G22" s="158"/>
      <c r="H22">
        <v>1858</v>
      </c>
    </row>
    <row r="23" spans="1:8">
      <c r="A23" s="161" t="s">
        <v>4389</v>
      </c>
      <c r="B23" s="158">
        <v>15</v>
      </c>
      <c r="C23" s="158">
        <f>1858-Рев_tb[[#This Row],[Воз-т на момент переписи или предыдущей]]</f>
        <v>1843</v>
      </c>
      <c r="D23" s="158"/>
      <c r="E23" s="158"/>
      <c r="F23" s="158" t="s">
        <v>3356</v>
      </c>
      <c r="G23" s="158"/>
      <c r="H23">
        <v>1858</v>
      </c>
    </row>
    <row r="24" spans="1:8">
      <c r="A24" s="161" t="s">
        <v>4390</v>
      </c>
      <c r="B24" s="158">
        <v>13</v>
      </c>
      <c r="C24" s="158">
        <f>1858-Рев_tb[[#This Row],[Воз-т на момент переписи или предыдущей]]</f>
        <v>1845</v>
      </c>
      <c r="D24" s="158"/>
      <c r="E24" s="158"/>
      <c r="F24" s="158" t="s">
        <v>3356</v>
      </c>
      <c r="G24" s="158"/>
      <c r="H24">
        <v>1858</v>
      </c>
    </row>
    <row r="25" spans="1:8">
      <c r="A25" s="161" t="s">
        <v>4391</v>
      </c>
      <c r="B25" s="158">
        <v>10</v>
      </c>
      <c r="C25" s="158">
        <f>1858-Рев_tb[[#This Row],[Воз-т на момент переписи или предыдущей]]</f>
        <v>1848</v>
      </c>
      <c r="D25" s="158"/>
      <c r="E25" s="158"/>
      <c r="F25" s="158" t="s">
        <v>3356</v>
      </c>
      <c r="G25" s="158"/>
      <c r="H25">
        <v>1858</v>
      </c>
    </row>
    <row r="26" spans="1:8">
      <c r="A26" s="161" t="s">
        <v>4312</v>
      </c>
      <c r="B26" s="158">
        <v>24.5</v>
      </c>
      <c r="C26" s="158">
        <f>1858-Рев_tb[[#This Row],[Воз-т на момент переписи или предыдущей]]</f>
        <v>1833.5</v>
      </c>
      <c r="D26" s="158"/>
      <c r="E26" s="158"/>
      <c r="F26" s="158" t="s">
        <v>3357</v>
      </c>
      <c r="G26" s="158"/>
      <c r="H26">
        <v>1858</v>
      </c>
    </row>
    <row r="27" spans="1:8">
      <c r="A27" s="161" t="s">
        <v>4304</v>
      </c>
      <c r="B27" s="158">
        <v>5</v>
      </c>
      <c r="C27" s="158">
        <f>1858-Рев_tb[[#This Row],[Воз-т на момент переписи или предыдущей]]</f>
        <v>1853</v>
      </c>
      <c r="D27" s="158"/>
      <c r="E27" s="158"/>
      <c r="F27" s="158" t="s">
        <v>3358</v>
      </c>
      <c r="G27" s="158"/>
      <c r="H27">
        <v>1858</v>
      </c>
    </row>
    <row r="28" spans="1:8">
      <c r="A28" s="161" t="s">
        <v>4311</v>
      </c>
      <c r="B28" s="158">
        <v>0.5</v>
      </c>
      <c r="C28" s="158">
        <f>1858-Рев_tb[[#This Row],[Воз-т на момент переписи или предыдущей]]</f>
        <v>1857.5</v>
      </c>
      <c r="D28" s="158"/>
      <c r="E28" s="158"/>
      <c r="F28" s="158" t="s">
        <v>3358</v>
      </c>
      <c r="G28" s="158"/>
      <c r="H28">
        <v>1858</v>
      </c>
    </row>
    <row r="29" spans="1:8">
      <c r="A29" s="161" t="s">
        <v>4392</v>
      </c>
      <c r="B29" s="158"/>
      <c r="C29" s="158">
        <f>1850-15</f>
        <v>1835</v>
      </c>
      <c r="D29" s="158"/>
      <c r="E29" s="158"/>
      <c r="F29" s="158" t="s">
        <v>3359</v>
      </c>
      <c r="G29" s="158"/>
      <c r="H29">
        <v>1858</v>
      </c>
    </row>
    <row r="30" spans="1:8">
      <c r="A30" s="161" t="s">
        <v>4313</v>
      </c>
      <c r="B30" s="158">
        <v>31</v>
      </c>
      <c r="C30" s="158">
        <f>1850-15</f>
        <v>1835</v>
      </c>
      <c r="D30" s="158"/>
      <c r="E30" s="158"/>
      <c r="F30" s="158" t="s">
        <v>3360</v>
      </c>
      <c r="G30" s="158"/>
      <c r="H30">
        <v>1858</v>
      </c>
    </row>
    <row r="31" spans="1:8">
      <c r="A31" s="31" t="s">
        <v>4338</v>
      </c>
      <c r="B31">
        <v>8</v>
      </c>
      <c r="C31">
        <v>1850</v>
      </c>
      <c r="D31" t="s">
        <v>2767</v>
      </c>
      <c r="E31" t="s">
        <v>2768</v>
      </c>
      <c r="F31" t="s">
        <v>2769</v>
      </c>
      <c r="H31">
        <v>1858</v>
      </c>
    </row>
    <row r="32" spans="1:8">
      <c r="A32" s="31" t="s">
        <v>4393</v>
      </c>
      <c r="B32">
        <v>67</v>
      </c>
      <c r="C32">
        <v>1791</v>
      </c>
      <c r="D32" t="s">
        <v>2770</v>
      </c>
      <c r="E32" t="s">
        <v>2726</v>
      </c>
      <c r="F32" t="s">
        <v>2769</v>
      </c>
      <c r="H32">
        <v>1858</v>
      </c>
    </row>
    <row r="33" spans="1:8">
      <c r="A33" s="31" t="s">
        <v>4795</v>
      </c>
      <c r="B33">
        <v>67</v>
      </c>
      <c r="C33">
        <v>1791</v>
      </c>
      <c r="D33" t="s">
        <v>2771</v>
      </c>
      <c r="E33" t="s">
        <v>2772</v>
      </c>
      <c r="F33" t="s">
        <v>2773</v>
      </c>
      <c r="H33">
        <v>1858</v>
      </c>
    </row>
    <row r="34" spans="1:8">
      <c r="A34" s="31" t="s">
        <v>4796</v>
      </c>
      <c r="B34">
        <v>65</v>
      </c>
      <c r="C34">
        <v>1793</v>
      </c>
      <c r="D34" t="s">
        <v>2774</v>
      </c>
      <c r="E34" t="s">
        <v>2775</v>
      </c>
      <c r="F34" t="s">
        <v>2776</v>
      </c>
      <c r="H34">
        <v>1858</v>
      </c>
    </row>
    <row r="35" spans="1:8">
      <c r="A35" s="31" t="s">
        <v>4797</v>
      </c>
      <c r="B35">
        <v>37</v>
      </c>
      <c r="C35">
        <v>1813</v>
      </c>
      <c r="D35" t="s">
        <v>2777</v>
      </c>
      <c r="E35" t="s">
        <v>2778</v>
      </c>
      <c r="F35" t="s">
        <v>2779</v>
      </c>
      <c r="G35" t="s">
        <v>3280</v>
      </c>
      <c r="H35">
        <v>1858</v>
      </c>
    </row>
    <row r="36" spans="1:8">
      <c r="A36" s="31" t="s">
        <v>4798</v>
      </c>
      <c r="B36">
        <v>69</v>
      </c>
      <c r="C36">
        <v>1789</v>
      </c>
      <c r="D36" t="s">
        <v>2780</v>
      </c>
      <c r="E36" t="s">
        <v>2778</v>
      </c>
      <c r="F36" t="s">
        <v>2781</v>
      </c>
      <c r="H36">
        <v>1858</v>
      </c>
    </row>
    <row r="37" spans="1:8">
      <c r="A37" s="31" t="s">
        <v>4724</v>
      </c>
      <c r="B37">
        <v>58</v>
      </c>
      <c r="C37">
        <v>1792</v>
      </c>
      <c r="D37" t="s">
        <v>2782</v>
      </c>
      <c r="E37" t="s">
        <v>2783</v>
      </c>
      <c r="F37" t="s">
        <v>2784</v>
      </c>
      <c r="G37" t="s">
        <v>3280</v>
      </c>
      <c r="H37">
        <v>1858</v>
      </c>
    </row>
    <row r="38" spans="1:8">
      <c r="A38" s="31" t="s">
        <v>4724</v>
      </c>
      <c r="B38">
        <v>55</v>
      </c>
      <c r="C38">
        <v>1803</v>
      </c>
      <c r="D38" t="s">
        <v>2785</v>
      </c>
      <c r="E38" t="s">
        <v>2783</v>
      </c>
      <c r="F38" t="s">
        <v>4799</v>
      </c>
      <c r="H38">
        <v>1858</v>
      </c>
    </row>
    <row r="39" spans="1:8">
      <c r="A39" s="31" t="s">
        <v>4800</v>
      </c>
      <c r="B39">
        <v>62</v>
      </c>
      <c r="C39">
        <v>1796</v>
      </c>
      <c r="D39" t="s">
        <v>2786</v>
      </c>
      <c r="E39" t="s">
        <v>2787</v>
      </c>
      <c r="F39" t="s">
        <v>2788</v>
      </c>
      <c r="H39">
        <v>1858</v>
      </c>
    </row>
    <row r="40" spans="1:8">
      <c r="A40" s="31" t="s">
        <v>4801</v>
      </c>
      <c r="B40">
        <v>53</v>
      </c>
      <c r="C40">
        <v>1805</v>
      </c>
      <c r="D40" t="s">
        <v>2789</v>
      </c>
      <c r="E40" t="s">
        <v>2790</v>
      </c>
      <c r="F40" t="s">
        <v>2791</v>
      </c>
      <c r="H40">
        <v>1858</v>
      </c>
    </row>
    <row r="41" spans="1:8">
      <c r="A41" s="31" t="s">
        <v>4802</v>
      </c>
      <c r="B41">
        <v>64</v>
      </c>
      <c r="C41">
        <v>1786</v>
      </c>
      <c r="D41" t="s">
        <v>2792</v>
      </c>
      <c r="E41" t="s">
        <v>2793</v>
      </c>
      <c r="F41" t="s">
        <v>2794</v>
      </c>
      <c r="G41" t="s">
        <v>3281</v>
      </c>
      <c r="H41">
        <v>1858</v>
      </c>
    </row>
    <row r="42" spans="1:8">
      <c r="A42" s="31" t="s">
        <v>4803</v>
      </c>
      <c r="B42">
        <v>8</v>
      </c>
      <c r="C42">
        <v>1850</v>
      </c>
      <c r="D42" t="s">
        <v>2795</v>
      </c>
      <c r="E42" t="s">
        <v>2796</v>
      </c>
      <c r="F42" t="s">
        <v>2727</v>
      </c>
      <c r="H42">
        <v>1858</v>
      </c>
    </row>
    <row r="43" spans="1:8">
      <c r="A43" s="31" t="s">
        <v>4725</v>
      </c>
      <c r="B43">
        <v>5</v>
      </c>
      <c r="C43">
        <v>1853</v>
      </c>
      <c r="D43" t="s">
        <v>2797</v>
      </c>
      <c r="E43" t="s">
        <v>2798</v>
      </c>
      <c r="F43" t="s">
        <v>2727</v>
      </c>
      <c r="H43">
        <v>1858</v>
      </c>
    </row>
    <row r="44" spans="1:8">
      <c r="A44" s="31" t="s">
        <v>2799</v>
      </c>
      <c r="B44">
        <v>28</v>
      </c>
      <c r="C44">
        <v>1830</v>
      </c>
      <c r="D44" t="s">
        <v>2800</v>
      </c>
      <c r="E44" t="s">
        <v>2730</v>
      </c>
      <c r="F44" t="s">
        <v>2801</v>
      </c>
      <c r="H44">
        <v>1858</v>
      </c>
    </row>
    <row r="45" spans="1:8">
      <c r="A45" s="31" t="s">
        <v>2802</v>
      </c>
      <c r="B45">
        <v>49</v>
      </c>
      <c r="C45">
        <v>1809</v>
      </c>
      <c r="D45" t="s">
        <v>2803</v>
      </c>
      <c r="E45" t="s">
        <v>2804</v>
      </c>
      <c r="F45" t="s">
        <v>2805</v>
      </c>
      <c r="H45">
        <v>1858</v>
      </c>
    </row>
    <row r="46" spans="1:8">
      <c r="A46" s="31" t="s">
        <v>2806</v>
      </c>
      <c r="B46">
        <v>53</v>
      </c>
      <c r="C46">
        <v>1805</v>
      </c>
      <c r="D46" t="s">
        <v>2807</v>
      </c>
      <c r="E46" t="s">
        <v>2804</v>
      </c>
      <c r="F46" t="s">
        <v>2808</v>
      </c>
      <c r="H46">
        <v>1858</v>
      </c>
    </row>
    <row r="47" spans="1:8">
      <c r="A47" s="31" t="s">
        <v>2809</v>
      </c>
      <c r="B47">
        <v>51</v>
      </c>
      <c r="C47">
        <v>1807</v>
      </c>
      <c r="D47" t="s">
        <v>2810</v>
      </c>
      <c r="E47" t="s">
        <v>2811</v>
      </c>
      <c r="F47" t="s">
        <v>2812</v>
      </c>
      <c r="H47">
        <v>1858</v>
      </c>
    </row>
    <row r="48" spans="1:8">
      <c r="A48" s="31" t="s">
        <v>2813</v>
      </c>
      <c r="B48">
        <v>10</v>
      </c>
      <c r="C48">
        <v>1848</v>
      </c>
      <c r="D48" t="s">
        <v>2814</v>
      </c>
      <c r="E48" t="s">
        <v>2815</v>
      </c>
      <c r="F48" t="s">
        <v>2816</v>
      </c>
      <c r="H48">
        <v>1858</v>
      </c>
    </row>
    <row r="49" spans="1:8">
      <c r="A49" s="31" t="s">
        <v>2817</v>
      </c>
      <c r="B49">
        <v>44</v>
      </c>
      <c r="C49">
        <v>1814</v>
      </c>
      <c r="D49" t="s">
        <v>2818</v>
      </c>
      <c r="E49" t="s">
        <v>2819</v>
      </c>
      <c r="F49" t="s">
        <v>2820</v>
      </c>
      <c r="H49">
        <v>1858</v>
      </c>
    </row>
    <row r="50" spans="1:8">
      <c r="A50" s="31" t="s">
        <v>2821</v>
      </c>
      <c r="B50">
        <v>48</v>
      </c>
      <c r="C50">
        <v>1810</v>
      </c>
      <c r="D50" t="s">
        <v>2822</v>
      </c>
      <c r="E50" t="s">
        <v>2823</v>
      </c>
      <c r="F50" t="s">
        <v>2824</v>
      </c>
      <c r="H50">
        <v>1858</v>
      </c>
    </row>
    <row r="51" spans="1:8">
      <c r="A51" s="31" t="s">
        <v>2825</v>
      </c>
      <c r="B51">
        <v>11</v>
      </c>
      <c r="C51">
        <v>1847</v>
      </c>
      <c r="D51" t="s">
        <v>2826</v>
      </c>
      <c r="E51" t="s">
        <v>2796</v>
      </c>
      <c r="F51" t="s">
        <v>2727</v>
      </c>
      <c r="H51">
        <v>1858</v>
      </c>
    </row>
    <row r="52" spans="1:8">
      <c r="A52" s="31" t="s">
        <v>2827</v>
      </c>
      <c r="B52">
        <v>58</v>
      </c>
      <c r="C52">
        <v>1792</v>
      </c>
      <c r="D52" t="s">
        <v>2828</v>
      </c>
      <c r="E52" t="s">
        <v>2829</v>
      </c>
      <c r="F52" t="s">
        <v>2830</v>
      </c>
      <c r="G52" t="s">
        <v>3282</v>
      </c>
      <c r="H52">
        <v>1858</v>
      </c>
    </row>
    <row r="53" spans="1:8">
      <c r="A53" s="31" t="s">
        <v>2831</v>
      </c>
      <c r="B53">
        <v>57</v>
      </c>
      <c r="C53">
        <v>1801</v>
      </c>
      <c r="D53" t="s">
        <v>2832</v>
      </c>
      <c r="E53" t="s">
        <v>2833</v>
      </c>
      <c r="F53" t="s">
        <v>2834</v>
      </c>
      <c r="H53">
        <v>1858</v>
      </c>
    </row>
    <row r="54" spans="1:8">
      <c r="A54" s="31" t="s">
        <v>2835</v>
      </c>
      <c r="B54">
        <v>71</v>
      </c>
      <c r="C54">
        <v>1787</v>
      </c>
      <c r="D54" t="s">
        <v>2836</v>
      </c>
      <c r="E54" t="s">
        <v>2837</v>
      </c>
      <c r="F54" t="s">
        <v>2838</v>
      </c>
      <c r="H54">
        <v>1858</v>
      </c>
    </row>
    <row r="55" spans="1:8">
      <c r="A55" s="31" t="s">
        <v>2839</v>
      </c>
      <c r="B55">
        <v>53</v>
      </c>
      <c r="C55">
        <v>1805</v>
      </c>
      <c r="D55" t="s">
        <v>2840</v>
      </c>
      <c r="E55" t="s">
        <v>2841</v>
      </c>
      <c r="F55" t="s">
        <v>2842</v>
      </c>
      <c r="H55">
        <v>1858</v>
      </c>
    </row>
    <row r="56" spans="1:8">
      <c r="A56" s="31" t="s">
        <v>2843</v>
      </c>
      <c r="B56">
        <v>77</v>
      </c>
      <c r="C56">
        <v>1773</v>
      </c>
      <c r="D56" t="s">
        <v>2844</v>
      </c>
      <c r="E56" t="s">
        <v>2845</v>
      </c>
      <c r="F56" t="s">
        <v>2846</v>
      </c>
      <c r="G56" t="s">
        <v>3281</v>
      </c>
      <c r="H56">
        <v>1858</v>
      </c>
    </row>
    <row r="57" spans="1:8">
      <c r="A57" s="31" t="s">
        <v>2847</v>
      </c>
      <c r="B57">
        <v>46</v>
      </c>
      <c r="C57">
        <v>1812</v>
      </c>
      <c r="D57" t="s">
        <v>2848</v>
      </c>
      <c r="E57" t="s">
        <v>2845</v>
      </c>
      <c r="F57" t="s">
        <v>2849</v>
      </c>
      <c r="H57">
        <v>1858</v>
      </c>
    </row>
    <row r="58" spans="1:8">
      <c r="A58" s="31" t="s">
        <v>2850</v>
      </c>
      <c r="D58" t="s">
        <v>2851</v>
      </c>
      <c r="E58" t="s">
        <v>2852</v>
      </c>
      <c r="F58" t="s">
        <v>2727</v>
      </c>
      <c r="H58">
        <v>1858</v>
      </c>
    </row>
    <row r="59" spans="1:8">
      <c r="A59" s="31" t="s">
        <v>2853</v>
      </c>
      <c r="B59">
        <v>63</v>
      </c>
      <c r="C59">
        <v>1787</v>
      </c>
      <c r="D59" t="s">
        <v>2854</v>
      </c>
      <c r="E59" t="s">
        <v>2855</v>
      </c>
      <c r="F59" t="s">
        <v>2856</v>
      </c>
      <c r="G59" t="s">
        <v>3277</v>
      </c>
      <c r="H59">
        <v>1858</v>
      </c>
    </row>
    <row r="60" spans="1:8">
      <c r="A60" s="31" t="s">
        <v>2857</v>
      </c>
      <c r="B60">
        <v>59</v>
      </c>
      <c r="C60">
        <v>1791</v>
      </c>
      <c r="D60" t="s">
        <v>2858</v>
      </c>
      <c r="E60" t="s">
        <v>2855</v>
      </c>
      <c r="F60" t="s">
        <v>2859</v>
      </c>
      <c r="G60" t="s">
        <v>3283</v>
      </c>
      <c r="H60">
        <v>1858</v>
      </c>
    </row>
    <row r="61" spans="1:8">
      <c r="A61" s="31" t="s">
        <v>2860</v>
      </c>
      <c r="B61">
        <v>48</v>
      </c>
      <c r="C61">
        <v>1810</v>
      </c>
      <c r="D61" t="s">
        <v>2861</v>
      </c>
      <c r="E61" t="s">
        <v>2862</v>
      </c>
      <c r="F61" t="s">
        <v>2863</v>
      </c>
      <c r="H61">
        <v>1858</v>
      </c>
    </row>
    <row r="62" spans="1:8">
      <c r="A62" s="31" t="s">
        <v>2864</v>
      </c>
      <c r="B62">
        <v>71</v>
      </c>
      <c r="C62">
        <v>1779</v>
      </c>
      <c r="D62" t="s">
        <v>2865</v>
      </c>
      <c r="E62" t="s">
        <v>2866</v>
      </c>
      <c r="F62" t="s">
        <v>2867</v>
      </c>
      <c r="G62" t="s">
        <v>3277</v>
      </c>
      <c r="H62">
        <v>1858</v>
      </c>
    </row>
    <row r="63" spans="1:8">
      <c r="A63" s="31" t="s">
        <v>2868</v>
      </c>
      <c r="B63">
        <v>51</v>
      </c>
      <c r="C63">
        <v>1807</v>
      </c>
      <c r="D63" t="s">
        <v>2869</v>
      </c>
      <c r="E63" t="s">
        <v>2841</v>
      </c>
      <c r="F63" t="s">
        <v>2870</v>
      </c>
      <c r="H63">
        <v>1858</v>
      </c>
    </row>
    <row r="64" spans="1:8">
      <c r="A64" s="31" t="s">
        <v>2871</v>
      </c>
      <c r="B64">
        <v>49</v>
      </c>
      <c r="C64">
        <v>1809</v>
      </c>
      <c r="D64" t="s">
        <v>2872</v>
      </c>
      <c r="E64" t="s">
        <v>2873</v>
      </c>
      <c r="F64" t="s">
        <v>2874</v>
      </c>
      <c r="H64">
        <v>1858</v>
      </c>
    </row>
    <row r="65" spans="1:8">
      <c r="A65" s="31" t="s">
        <v>2875</v>
      </c>
      <c r="B65">
        <v>53</v>
      </c>
      <c r="C65">
        <v>1805</v>
      </c>
      <c r="D65" t="s">
        <v>2876</v>
      </c>
      <c r="E65" t="s">
        <v>2873</v>
      </c>
      <c r="F65" t="s">
        <v>2877</v>
      </c>
      <c r="H65">
        <v>1858</v>
      </c>
    </row>
    <row r="66" spans="1:8">
      <c r="A66" s="31" t="s">
        <v>2878</v>
      </c>
      <c r="B66">
        <v>54</v>
      </c>
      <c r="C66">
        <v>1804</v>
      </c>
      <c r="D66" t="s">
        <v>2879</v>
      </c>
      <c r="E66" t="s">
        <v>2730</v>
      </c>
      <c r="F66" t="s">
        <v>2880</v>
      </c>
      <c r="H66">
        <v>1858</v>
      </c>
    </row>
    <row r="67" spans="1:8">
      <c r="A67" s="31" t="s">
        <v>2881</v>
      </c>
      <c r="B67">
        <v>39</v>
      </c>
      <c r="C67">
        <v>1819</v>
      </c>
      <c r="D67" t="s">
        <v>2882</v>
      </c>
      <c r="E67" t="s">
        <v>2730</v>
      </c>
      <c r="F67" t="s">
        <v>2883</v>
      </c>
      <c r="H67">
        <v>1858</v>
      </c>
    </row>
    <row r="68" spans="1:8">
      <c r="A68" s="31" t="s">
        <v>2884</v>
      </c>
      <c r="B68">
        <v>54</v>
      </c>
      <c r="C68">
        <v>1804</v>
      </c>
      <c r="D68" t="s">
        <v>2885</v>
      </c>
      <c r="E68" t="s">
        <v>2866</v>
      </c>
      <c r="F68" t="s">
        <v>2886</v>
      </c>
      <c r="H68">
        <v>1858</v>
      </c>
    </row>
    <row r="69" spans="1:8">
      <c r="A69" s="31" t="s">
        <v>2887</v>
      </c>
      <c r="B69">
        <v>49</v>
      </c>
      <c r="C69">
        <v>1809</v>
      </c>
      <c r="D69" t="s">
        <v>2888</v>
      </c>
      <c r="E69" t="s">
        <v>2889</v>
      </c>
      <c r="F69" t="s">
        <v>2890</v>
      </c>
      <c r="H69">
        <v>1858</v>
      </c>
    </row>
    <row r="70" spans="1:8">
      <c r="A70" s="31" t="s">
        <v>2891</v>
      </c>
      <c r="B70">
        <v>66</v>
      </c>
      <c r="C70">
        <v>1792</v>
      </c>
      <c r="D70" t="s">
        <v>2892</v>
      </c>
      <c r="E70" t="s">
        <v>2893</v>
      </c>
      <c r="F70" t="s">
        <v>2894</v>
      </c>
      <c r="H70">
        <v>1858</v>
      </c>
    </row>
    <row r="71" spans="1:8">
      <c r="A71" s="31" t="s">
        <v>2895</v>
      </c>
      <c r="B71">
        <v>59</v>
      </c>
      <c r="C71">
        <v>1799</v>
      </c>
      <c r="D71" t="s">
        <v>2896</v>
      </c>
      <c r="E71" t="s">
        <v>2897</v>
      </c>
      <c r="F71" t="s">
        <v>2898</v>
      </c>
      <c r="H71">
        <v>1858</v>
      </c>
    </row>
    <row r="72" spans="1:8">
      <c r="A72" s="31" t="s">
        <v>2899</v>
      </c>
      <c r="B72">
        <v>49</v>
      </c>
      <c r="C72">
        <v>1809</v>
      </c>
      <c r="D72" t="s">
        <v>2900</v>
      </c>
      <c r="E72" t="s">
        <v>2897</v>
      </c>
      <c r="F72" t="s">
        <v>2901</v>
      </c>
      <c r="H72">
        <v>1858</v>
      </c>
    </row>
    <row r="73" spans="1:8">
      <c r="A73" s="31" t="s">
        <v>2902</v>
      </c>
      <c r="B73">
        <v>69</v>
      </c>
      <c r="C73">
        <v>1789</v>
      </c>
      <c r="D73" t="s">
        <v>2903</v>
      </c>
      <c r="E73" t="s">
        <v>2904</v>
      </c>
      <c r="F73" t="s">
        <v>2905</v>
      </c>
      <c r="H73">
        <v>1858</v>
      </c>
    </row>
    <row r="74" spans="1:8">
      <c r="A74" s="31" t="s">
        <v>2906</v>
      </c>
      <c r="B74">
        <v>46</v>
      </c>
      <c r="C74">
        <v>1812</v>
      </c>
      <c r="D74" t="s">
        <v>2907</v>
      </c>
      <c r="E74" t="s">
        <v>2904</v>
      </c>
      <c r="F74" t="s">
        <v>2908</v>
      </c>
      <c r="H74">
        <v>1858</v>
      </c>
    </row>
    <row r="75" spans="1:8">
      <c r="A75" s="31" t="s">
        <v>2909</v>
      </c>
      <c r="B75">
        <v>41</v>
      </c>
      <c r="C75">
        <v>1817</v>
      </c>
      <c r="D75" t="s">
        <v>2910</v>
      </c>
      <c r="E75" t="s">
        <v>2823</v>
      </c>
      <c r="F75" t="s">
        <v>2911</v>
      </c>
      <c r="H75">
        <v>1858</v>
      </c>
    </row>
    <row r="76" spans="1:8">
      <c r="A76" s="31" t="s">
        <v>4876</v>
      </c>
      <c r="B76">
        <v>41</v>
      </c>
      <c r="C76">
        <v>1817</v>
      </c>
      <c r="D76" t="s">
        <v>2912</v>
      </c>
      <c r="E76" t="s">
        <v>2913</v>
      </c>
      <c r="F76" t="s">
        <v>2727</v>
      </c>
      <c r="H76">
        <v>1858</v>
      </c>
    </row>
    <row r="77" spans="1:8">
      <c r="A77" s="31" t="s">
        <v>2914</v>
      </c>
      <c r="B77">
        <v>58</v>
      </c>
      <c r="C77">
        <v>1800</v>
      </c>
      <c r="D77" t="s">
        <v>2915</v>
      </c>
      <c r="E77" t="s">
        <v>2866</v>
      </c>
      <c r="F77" t="s">
        <v>2916</v>
      </c>
      <c r="H77">
        <v>1858</v>
      </c>
    </row>
    <row r="78" spans="1:8">
      <c r="A78" s="31" t="s">
        <v>2917</v>
      </c>
      <c r="B78">
        <v>44</v>
      </c>
      <c r="C78">
        <v>1814</v>
      </c>
      <c r="D78" t="s">
        <v>2918</v>
      </c>
      <c r="E78" t="s">
        <v>2841</v>
      </c>
      <c r="F78" t="s">
        <v>2919</v>
      </c>
      <c r="H78">
        <v>1858</v>
      </c>
    </row>
    <row r="79" spans="1:8">
      <c r="A79" s="31" t="s">
        <v>2920</v>
      </c>
      <c r="B79">
        <v>52</v>
      </c>
      <c r="C79">
        <v>1806</v>
      </c>
      <c r="D79" t="s">
        <v>2921</v>
      </c>
      <c r="E79" t="s">
        <v>2922</v>
      </c>
      <c r="F79" t="s">
        <v>2923</v>
      </c>
      <c r="H79">
        <v>1858</v>
      </c>
    </row>
    <row r="80" spans="1:8">
      <c r="A80" s="31" t="s">
        <v>2924</v>
      </c>
      <c r="B80">
        <v>29</v>
      </c>
      <c r="C80">
        <v>1821</v>
      </c>
      <c r="D80" t="s">
        <v>2925</v>
      </c>
      <c r="E80" t="s">
        <v>2926</v>
      </c>
      <c r="F80" t="s">
        <v>2927</v>
      </c>
      <c r="G80" t="s">
        <v>3283</v>
      </c>
      <c r="H80">
        <v>1858</v>
      </c>
    </row>
    <row r="81" spans="1:8">
      <c r="A81" s="31" t="s">
        <v>2928</v>
      </c>
      <c r="B81">
        <v>71</v>
      </c>
      <c r="C81">
        <v>1787</v>
      </c>
      <c r="D81" t="s">
        <v>2929</v>
      </c>
      <c r="E81" t="s">
        <v>2930</v>
      </c>
      <c r="F81" t="s">
        <v>2931</v>
      </c>
      <c r="H81">
        <v>1858</v>
      </c>
    </row>
    <row r="82" spans="1:8">
      <c r="A82" s="31" t="s">
        <v>2932</v>
      </c>
      <c r="B82">
        <v>72</v>
      </c>
      <c r="C82">
        <v>1786</v>
      </c>
      <c r="D82" t="s">
        <v>2933</v>
      </c>
      <c r="E82" t="s">
        <v>2930</v>
      </c>
      <c r="F82" t="s">
        <v>2934</v>
      </c>
      <c r="H82">
        <v>1858</v>
      </c>
    </row>
    <row r="83" spans="1:8">
      <c r="A83" s="31" t="s">
        <v>2935</v>
      </c>
      <c r="B83">
        <v>55</v>
      </c>
      <c r="C83">
        <v>1803</v>
      </c>
      <c r="D83" t="s">
        <v>2936</v>
      </c>
      <c r="E83" t="s">
        <v>2937</v>
      </c>
      <c r="F83" t="s">
        <v>2938</v>
      </c>
      <c r="H83">
        <v>1858</v>
      </c>
    </row>
    <row r="84" spans="1:8">
      <c r="A84" s="31" t="s">
        <v>2939</v>
      </c>
      <c r="B84">
        <v>57</v>
      </c>
      <c r="C84">
        <v>1801</v>
      </c>
      <c r="D84" t="s">
        <v>2940</v>
      </c>
      <c r="E84" t="s">
        <v>2941</v>
      </c>
      <c r="F84" t="s">
        <v>2942</v>
      </c>
      <c r="H84">
        <v>1858</v>
      </c>
    </row>
    <row r="85" spans="1:8">
      <c r="A85" s="31" t="s">
        <v>2943</v>
      </c>
      <c r="B85">
        <v>44</v>
      </c>
      <c r="C85">
        <v>1814</v>
      </c>
      <c r="D85" t="s">
        <v>2944</v>
      </c>
      <c r="E85" t="s">
        <v>2734</v>
      </c>
      <c r="F85" t="s">
        <v>2945</v>
      </c>
      <c r="H85">
        <v>1858</v>
      </c>
    </row>
    <row r="86" spans="1:8">
      <c r="A86" s="31" t="s">
        <v>2946</v>
      </c>
      <c r="B86">
        <v>69</v>
      </c>
      <c r="C86">
        <v>1789</v>
      </c>
      <c r="D86" t="s">
        <v>2947</v>
      </c>
      <c r="E86" t="s">
        <v>2746</v>
      </c>
      <c r="F86" t="s">
        <v>2948</v>
      </c>
      <c r="H86">
        <v>1858</v>
      </c>
    </row>
    <row r="87" spans="1:8">
      <c r="A87" s="31" t="s">
        <v>2949</v>
      </c>
      <c r="B87">
        <v>63</v>
      </c>
      <c r="C87">
        <v>1787</v>
      </c>
      <c r="D87" t="s">
        <v>2950</v>
      </c>
      <c r="E87" t="s">
        <v>2951</v>
      </c>
      <c r="F87" t="s">
        <v>2952</v>
      </c>
      <c r="G87" t="s">
        <v>3284</v>
      </c>
      <c r="H87">
        <v>1858</v>
      </c>
    </row>
    <row r="88" spans="1:8">
      <c r="A88" s="31" t="s">
        <v>2953</v>
      </c>
      <c r="B88">
        <v>59</v>
      </c>
      <c r="C88">
        <v>1799</v>
      </c>
      <c r="D88" t="s">
        <v>2954</v>
      </c>
      <c r="E88" t="s">
        <v>2955</v>
      </c>
      <c r="F88" t="s">
        <v>2956</v>
      </c>
      <c r="H88">
        <v>1858</v>
      </c>
    </row>
    <row r="89" spans="1:8">
      <c r="A89" s="31" t="s">
        <v>2957</v>
      </c>
      <c r="B89">
        <v>62</v>
      </c>
      <c r="C89">
        <v>1788</v>
      </c>
      <c r="D89" t="s">
        <v>2958</v>
      </c>
      <c r="E89" t="s">
        <v>2841</v>
      </c>
      <c r="F89" t="s">
        <v>2959</v>
      </c>
      <c r="G89" t="s">
        <v>3283</v>
      </c>
      <c r="H89">
        <v>1858</v>
      </c>
    </row>
    <row r="90" spans="1:8">
      <c r="A90" s="31" t="s">
        <v>2960</v>
      </c>
      <c r="B90">
        <v>73</v>
      </c>
      <c r="C90">
        <v>1785</v>
      </c>
      <c r="D90" t="s">
        <v>2961</v>
      </c>
      <c r="E90" t="s">
        <v>2768</v>
      </c>
      <c r="F90" t="s">
        <v>2962</v>
      </c>
      <c r="H90">
        <v>1858</v>
      </c>
    </row>
    <row r="91" spans="1:8">
      <c r="A91" s="31" t="s">
        <v>2963</v>
      </c>
      <c r="B91">
        <v>46</v>
      </c>
      <c r="C91">
        <v>1812</v>
      </c>
      <c r="D91" t="s">
        <v>2964</v>
      </c>
      <c r="E91" t="s">
        <v>2965</v>
      </c>
      <c r="F91" t="s">
        <v>2966</v>
      </c>
      <c r="H91">
        <v>1858</v>
      </c>
    </row>
    <row r="92" spans="1:8">
      <c r="A92" s="31" t="s">
        <v>2967</v>
      </c>
      <c r="B92">
        <v>40</v>
      </c>
      <c r="C92">
        <v>1818</v>
      </c>
      <c r="D92" t="s">
        <v>2968</v>
      </c>
      <c r="E92" t="s">
        <v>2969</v>
      </c>
      <c r="F92" t="s">
        <v>2970</v>
      </c>
      <c r="H92">
        <v>1858</v>
      </c>
    </row>
    <row r="93" spans="1:8">
      <c r="A93" s="31" t="s">
        <v>2971</v>
      </c>
      <c r="B93">
        <v>41</v>
      </c>
      <c r="C93">
        <v>1817</v>
      </c>
      <c r="D93" t="s">
        <v>2972</v>
      </c>
      <c r="E93" t="s">
        <v>2969</v>
      </c>
      <c r="F93" t="s">
        <v>2973</v>
      </c>
      <c r="H93">
        <v>1858</v>
      </c>
    </row>
    <row r="94" spans="1:8">
      <c r="A94" s="31" t="s">
        <v>2974</v>
      </c>
      <c r="B94">
        <v>46</v>
      </c>
      <c r="C94">
        <v>1812</v>
      </c>
      <c r="D94" t="s">
        <v>2975</v>
      </c>
      <c r="E94" t="s">
        <v>2796</v>
      </c>
      <c r="F94" t="s">
        <v>2727</v>
      </c>
      <c r="H94">
        <v>1858</v>
      </c>
    </row>
    <row r="95" spans="1:8">
      <c r="A95" s="31" t="s">
        <v>2976</v>
      </c>
      <c r="B95">
        <v>53</v>
      </c>
      <c r="C95">
        <v>1805</v>
      </c>
      <c r="D95" t="s">
        <v>2977</v>
      </c>
      <c r="E95" t="s">
        <v>2978</v>
      </c>
      <c r="F95" t="s">
        <v>2979</v>
      </c>
      <c r="H95">
        <v>1858</v>
      </c>
    </row>
    <row r="96" spans="1:8">
      <c r="A96" s="31" t="s">
        <v>2599</v>
      </c>
      <c r="B96">
        <v>71</v>
      </c>
      <c r="C96">
        <v>1787</v>
      </c>
      <c r="D96" t="s">
        <v>2980</v>
      </c>
      <c r="E96" t="s">
        <v>2981</v>
      </c>
      <c r="F96" t="s">
        <v>2982</v>
      </c>
      <c r="H96">
        <v>1858</v>
      </c>
    </row>
    <row r="97" spans="1:8">
      <c r="A97" s="31" t="s">
        <v>2983</v>
      </c>
      <c r="B97">
        <v>31</v>
      </c>
      <c r="C97">
        <v>1827</v>
      </c>
      <c r="D97" t="s">
        <v>2984</v>
      </c>
      <c r="E97" t="s">
        <v>2985</v>
      </c>
      <c r="F97" t="s">
        <v>2986</v>
      </c>
      <c r="H97">
        <v>1858</v>
      </c>
    </row>
    <row r="98" spans="1:8">
      <c r="A98" s="31" t="s">
        <v>2987</v>
      </c>
      <c r="B98">
        <v>64</v>
      </c>
      <c r="C98">
        <v>1794</v>
      </c>
      <c r="D98" t="s">
        <v>2988</v>
      </c>
      <c r="E98" t="s">
        <v>2985</v>
      </c>
      <c r="F98" t="s">
        <v>2989</v>
      </c>
      <c r="H98">
        <v>1858</v>
      </c>
    </row>
    <row r="99" spans="1:8">
      <c r="A99" s="31" t="s">
        <v>2990</v>
      </c>
      <c r="B99">
        <v>42</v>
      </c>
      <c r="C99">
        <v>1816</v>
      </c>
      <c r="D99" t="s">
        <v>2991</v>
      </c>
      <c r="E99" t="s">
        <v>2985</v>
      </c>
      <c r="F99" t="s">
        <v>2992</v>
      </c>
      <c r="H99">
        <v>1858</v>
      </c>
    </row>
    <row r="100" spans="1:8">
      <c r="A100" s="31" t="s">
        <v>2993</v>
      </c>
      <c r="B100">
        <v>33</v>
      </c>
      <c r="C100">
        <v>1817</v>
      </c>
      <c r="D100" t="s">
        <v>2994</v>
      </c>
      <c r="E100" t="s">
        <v>2995</v>
      </c>
      <c r="F100" t="s">
        <v>2996</v>
      </c>
      <c r="G100" t="s">
        <v>3283</v>
      </c>
      <c r="H100">
        <v>1858</v>
      </c>
    </row>
    <row r="101" spans="1:8">
      <c r="A101" s="31" t="s">
        <v>2997</v>
      </c>
      <c r="B101">
        <v>47</v>
      </c>
      <c r="C101">
        <v>1811</v>
      </c>
      <c r="D101" t="s">
        <v>2998</v>
      </c>
      <c r="E101" t="s">
        <v>2823</v>
      </c>
      <c r="F101" t="s">
        <v>2999</v>
      </c>
      <c r="H101">
        <v>1858</v>
      </c>
    </row>
    <row r="102" spans="1:8">
      <c r="A102" s="31" t="s">
        <v>3000</v>
      </c>
      <c r="B102">
        <v>34</v>
      </c>
      <c r="C102">
        <v>1824</v>
      </c>
      <c r="D102" t="s">
        <v>3001</v>
      </c>
      <c r="E102" t="s">
        <v>3002</v>
      </c>
      <c r="F102" t="s">
        <v>3003</v>
      </c>
      <c r="H102">
        <v>1858</v>
      </c>
    </row>
    <row r="103" spans="1:8">
      <c r="A103" s="31" t="s">
        <v>3004</v>
      </c>
      <c r="B103">
        <v>82</v>
      </c>
      <c r="C103">
        <v>1768</v>
      </c>
      <c r="D103" t="s">
        <v>3005</v>
      </c>
      <c r="E103" t="s">
        <v>3006</v>
      </c>
      <c r="F103" t="s">
        <v>3007</v>
      </c>
      <c r="G103" t="s">
        <v>3283</v>
      </c>
      <c r="H103">
        <v>1858</v>
      </c>
    </row>
    <row r="104" spans="1:8">
      <c r="A104" s="31" t="s">
        <v>3008</v>
      </c>
      <c r="B104">
        <v>55</v>
      </c>
      <c r="C104">
        <v>1803</v>
      </c>
      <c r="D104" t="s">
        <v>3009</v>
      </c>
      <c r="E104" t="s">
        <v>2819</v>
      </c>
      <c r="F104" t="s">
        <v>3010</v>
      </c>
      <c r="H104">
        <v>1858</v>
      </c>
    </row>
    <row r="105" spans="1:8">
      <c r="A105" s="31" t="s">
        <v>3011</v>
      </c>
      <c r="B105">
        <v>75</v>
      </c>
      <c r="C105">
        <v>1783</v>
      </c>
      <c r="D105" t="s">
        <v>3012</v>
      </c>
      <c r="E105" t="s">
        <v>3013</v>
      </c>
      <c r="F105" t="s">
        <v>3014</v>
      </c>
      <c r="H105">
        <v>1858</v>
      </c>
    </row>
    <row r="106" spans="1:8">
      <c r="A106" s="31" t="s">
        <v>3015</v>
      </c>
      <c r="B106">
        <v>7</v>
      </c>
      <c r="C106">
        <v>1851</v>
      </c>
      <c r="D106" t="s">
        <v>3016</v>
      </c>
      <c r="E106" t="s">
        <v>2798</v>
      </c>
      <c r="F106" t="s">
        <v>2727</v>
      </c>
      <c r="H106">
        <v>1858</v>
      </c>
    </row>
    <row r="107" spans="1:8">
      <c r="A107" s="31" t="s">
        <v>2555</v>
      </c>
      <c r="B107">
        <v>6</v>
      </c>
      <c r="C107">
        <v>1852</v>
      </c>
      <c r="D107" t="s">
        <v>3017</v>
      </c>
      <c r="E107" t="s">
        <v>2798</v>
      </c>
      <c r="F107" t="s">
        <v>2727</v>
      </c>
      <c r="H107">
        <v>1858</v>
      </c>
    </row>
    <row r="108" spans="1:8">
      <c r="A108" s="31" t="s">
        <v>3018</v>
      </c>
      <c r="B108">
        <v>73</v>
      </c>
      <c r="C108">
        <v>1777</v>
      </c>
      <c r="D108" t="s">
        <v>3019</v>
      </c>
      <c r="E108" t="s">
        <v>3020</v>
      </c>
      <c r="F108" t="s">
        <v>3021</v>
      </c>
      <c r="G108" t="s">
        <v>3283</v>
      </c>
      <c r="H108">
        <v>1858</v>
      </c>
    </row>
    <row r="109" spans="1:8">
      <c r="A109" s="31" t="s">
        <v>3022</v>
      </c>
      <c r="B109">
        <v>55</v>
      </c>
      <c r="C109">
        <v>1803</v>
      </c>
      <c r="D109" t="s">
        <v>3023</v>
      </c>
      <c r="E109" t="s">
        <v>2819</v>
      </c>
      <c r="F109" t="s">
        <v>3024</v>
      </c>
      <c r="H109">
        <v>1858</v>
      </c>
    </row>
    <row r="110" spans="1:8">
      <c r="A110" s="31" t="s">
        <v>4964</v>
      </c>
      <c r="B110">
        <v>49</v>
      </c>
      <c r="C110">
        <v>1809</v>
      </c>
      <c r="D110" t="s">
        <v>3025</v>
      </c>
      <c r="E110" t="s">
        <v>3026</v>
      </c>
      <c r="F110" t="s">
        <v>3027</v>
      </c>
      <c r="H110">
        <v>1858</v>
      </c>
    </row>
    <row r="111" spans="1:8">
      <c r="A111" s="31" t="s">
        <v>4965</v>
      </c>
      <c r="B111">
        <v>76</v>
      </c>
      <c r="C111">
        <v>1782</v>
      </c>
      <c r="D111" t="s">
        <v>3028</v>
      </c>
      <c r="E111" t="s">
        <v>3029</v>
      </c>
      <c r="F111" t="s">
        <v>3030</v>
      </c>
      <c r="H111">
        <v>1858</v>
      </c>
    </row>
    <row r="112" spans="1:8">
      <c r="A112" s="31" t="s">
        <v>4966</v>
      </c>
      <c r="B112">
        <v>63</v>
      </c>
      <c r="C112">
        <v>1795</v>
      </c>
      <c r="D112" t="s">
        <v>3031</v>
      </c>
      <c r="E112" t="s">
        <v>3032</v>
      </c>
      <c r="F112" t="s">
        <v>3033</v>
      </c>
      <c r="H112">
        <v>1858</v>
      </c>
    </row>
    <row r="113" spans="1:8">
      <c r="A113" s="31" t="s">
        <v>4896</v>
      </c>
      <c r="B113">
        <v>59</v>
      </c>
      <c r="C113">
        <v>1799</v>
      </c>
      <c r="D113" t="s">
        <v>3034</v>
      </c>
      <c r="E113" t="s">
        <v>3035</v>
      </c>
      <c r="F113" t="s">
        <v>3036</v>
      </c>
      <c r="H113">
        <v>1858</v>
      </c>
    </row>
    <row r="114" spans="1:8">
      <c r="A114" s="31" t="s">
        <v>4967</v>
      </c>
      <c r="B114">
        <v>48</v>
      </c>
      <c r="C114">
        <v>1810</v>
      </c>
      <c r="D114" t="s">
        <v>3037</v>
      </c>
      <c r="E114" t="s">
        <v>3035</v>
      </c>
      <c r="F114" t="s">
        <v>3038</v>
      </c>
      <c r="H114">
        <v>1858</v>
      </c>
    </row>
    <row r="115" spans="1:8">
      <c r="A115" s="31" t="s">
        <v>4968</v>
      </c>
      <c r="B115">
        <v>51</v>
      </c>
      <c r="C115">
        <v>1807</v>
      </c>
      <c r="D115" t="s">
        <v>3039</v>
      </c>
      <c r="E115" t="s">
        <v>3040</v>
      </c>
      <c r="F115" t="s">
        <v>3041</v>
      </c>
      <c r="H115">
        <v>1858</v>
      </c>
    </row>
    <row r="116" spans="1:8">
      <c r="A116" s="31" t="s">
        <v>4969</v>
      </c>
      <c r="B116">
        <v>46</v>
      </c>
      <c r="C116">
        <v>1804</v>
      </c>
      <c r="D116" t="s">
        <v>3042</v>
      </c>
      <c r="E116" t="s">
        <v>3043</v>
      </c>
      <c r="F116" t="s">
        <v>3044</v>
      </c>
      <c r="G116" t="s">
        <v>3285</v>
      </c>
      <c r="H116">
        <v>1858</v>
      </c>
    </row>
    <row r="117" spans="1:8">
      <c r="A117" s="31" t="s">
        <v>4970</v>
      </c>
      <c r="B117">
        <v>49</v>
      </c>
      <c r="C117">
        <v>1801</v>
      </c>
      <c r="D117" t="s">
        <v>3045</v>
      </c>
      <c r="E117" t="s">
        <v>2833</v>
      </c>
      <c r="F117" t="s">
        <v>3046</v>
      </c>
      <c r="G117" t="s">
        <v>3279</v>
      </c>
      <c r="H117">
        <v>1858</v>
      </c>
    </row>
    <row r="118" spans="1:8">
      <c r="A118" s="31" t="s">
        <v>4971</v>
      </c>
      <c r="B118">
        <v>62</v>
      </c>
      <c r="C118">
        <v>1796</v>
      </c>
      <c r="D118" t="s">
        <v>3047</v>
      </c>
      <c r="E118" t="s">
        <v>3013</v>
      </c>
      <c r="F118" t="s">
        <v>3048</v>
      </c>
      <c r="H118">
        <v>1858</v>
      </c>
    </row>
    <row r="119" spans="1:8">
      <c r="A119" s="31" t="s">
        <v>3049</v>
      </c>
      <c r="B119">
        <v>59</v>
      </c>
      <c r="C119">
        <v>1799</v>
      </c>
      <c r="D119" t="s">
        <v>3050</v>
      </c>
      <c r="E119" t="s">
        <v>3013</v>
      </c>
      <c r="F119" t="s">
        <v>2727</v>
      </c>
      <c r="H119">
        <v>1858</v>
      </c>
    </row>
    <row r="120" spans="1:8">
      <c r="A120" s="31" t="s">
        <v>3051</v>
      </c>
      <c r="B120">
        <v>66</v>
      </c>
      <c r="C120">
        <v>1792</v>
      </c>
      <c r="D120" t="s">
        <v>3052</v>
      </c>
      <c r="E120" t="s">
        <v>3053</v>
      </c>
      <c r="F120" t="s">
        <v>3054</v>
      </c>
      <c r="H120">
        <v>1858</v>
      </c>
    </row>
    <row r="121" spans="1:8">
      <c r="A121" s="31" t="s">
        <v>3055</v>
      </c>
      <c r="B121">
        <v>66</v>
      </c>
      <c r="C121">
        <v>1792</v>
      </c>
      <c r="D121" t="s">
        <v>3056</v>
      </c>
      <c r="E121" t="s">
        <v>2855</v>
      </c>
      <c r="F121" t="s">
        <v>2859</v>
      </c>
      <c r="H121">
        <v>1858</v>
      </c>
    </row>
    <row r="122" spans="1:8">
      <c r="A122" s="31" t="s">
        <v>3057</v>
      </c>
      <c r="B122">
        <v>49</v>
      </c>
      <c r="C122">
        <v>1801</v>
      </c>
      <c r="D122" t="s">
        <v>3058</v>
      </c>
      <c r="E122" t="s">
        <v>2829</v>
      </c>
      <c r="F122" t="s">
        <v>3059</v>
      </c>
      <c r="G122" t="s">
        <v>3279</v>
      </c>
      <c r="H122">
        <v>1858</v>
      </c>
    </row>
    <row r="123" spans="1:8">
      <c r="A123" s="31" t="s">
        <v>3060</v>
      </c>
      <c r="B123">
        <v>44</v>
      </c>
      <c r="C123">
        <v>1814</v>
      </c>
      <c r="D123" t="s">
        <v>3061</v>
      </c>
      <c r="E123" t="s">
        <v>3062</v>
      </c>
      <c r="F123" t="s">
        <v>3063</v>
      </c>
      <c r="H123">
        <v>1858</v>
      </c>
    </row>
    <row r="124" spans="1:8">
      <c r="A124" s="31" t="s">
        <v>3064</v>
      </c>
      <c r="B124">
        <v>44</v>
      </c>
      <c r="C124">
        <v>1814</v>
      </c>
      <c r="D124" t="s">
        <v>3065</v>
      </c>
      <c r="E124" t="s">
        <v>3066</v>
      </c>
      <c r="F124" t="s">
        <v>3067</v>
      </c>
      <c r="H124">
        <v>1858</v>
      </c>
    </row>
    <row r="125" spans="1:8">
      <c r="A125" s="31" t="s">
        <v>3068</v>
      </c>
      <c r="B125">
        <v>64</v>
      </c>
      <c r="C125">
        <v>1794</v>
      </c>
      <c r="D125" t="s">
        <v>3069</v>
      </c>
      <c r="E125" t="s">
        <v>2978</v>
      </c>
      <c r="F125" t="s">
        <v>3070</v>
      </c>
      <c r="H125">
        <v>1858</v>
      </c>
    </row>
    <row r="126" spans="1:8">
      <c r="A126" s="31" t="s">
        <v>3071</v>
      </c>
      <c r="B126">
        <v>49</v>
      </c>
      <c r="C126">
        <v>1809</v>
      </c>
      <c r="D126" t="s">
        <v>3072</v>
      </c>
      <c r="E126" t="s">
        <v>3073</v>
      </c>
      <c r="F126" t="s">
        <v>3074</v>
      </c>
      <c r="H126">
        <v>1858</v>
      </c>
    </row>
    <row r="127" spans="1:8">
      <c r="A127" s="31" t="s">
        <v>3075</v>
      </c>
      <c r="B127">
        <v>52</v>
      </c>
      <c r="C127">
        <v>1798</v>
      </c>
      <c r="D127" t="s">
        <v>3076</v>
      </c>
      <c r="E127" t="s">
        <v>3077</v>
      </c>
      <c r="F127" t="s">
        <v>3078</v>
      </c>
      <c r="G127" t="s">
        <v>3286</v>
      </c>
      <c r="H127">
        <v>1858</v>
      </c>
    </row>
    <row r="128" spans="1:8">
      <c r="A128" s="31" t="s">
        <v>3079</v>
      </c>
      <c r="B128">
        <v>48</v>
      </c>
      <c r="C128">
        <v>1810</v>
      </c>
      <c r="D128" t="s">
        <v>3080</v>
      </c>
      <c r="E128" t="s">
        <v>2922</v>
      </c>
      <c r="F128" t="s">
        <v>3081</v>
      </c>
      <c r="H128">
        <v>1858</v>
      </c>
    </row>
    <row r="129" spans="1:8">
      <c r="A129" s="31" t="s">
        <v>3082</v>
      </c>
      <c r="B129">
        <v>77</v>
      </c>
      <c r="C129">
        <v>1781</v>
      </c>
      <c r="D129" t="s">
        <v>3083</v>
      </c>
      <c r="E129" t="s">
        <v>3084</v>
      </c>
      <c r="F129" t="s">
        <v>3085</v>
      </c>
      <c r="H129">
        <v>1858</v>
      </c>
    </row>
    <row r="130" spans="1:8">
      <c r="A130" s="31" t="s">
        <v>3086</v>
      </c>
      <c r="B130">
        <v>57</v>
      </c>
      <c r="C130">
        <v>1801</v>
      </c>
      <c r="D130" t="s">
        <v>3087</v>
      </c>
      <c r="E130" t="s">
        <v>3013</v>
      </c>
      <c r="F130" t="s">
        <v>3088</v>
      </c>
      <c r="H130">
        <v>1858</v>
      </c>
    </row>
    <row r="131" spans="1:8">
      <c r="A131" s="31" t="s">
        <v>3089</v>
      </c>
      <c r="B131">
        <v>34</v>
      </c>
      <c r="C131">
        <v>1824</v>
      </c>
      <c r="D131" t="s">
        <v>3090</v>
      </c>
      <c r="E131" t="s">
        <v>2889</v>
      </c>
      <c r="F131" t="s">
        <v>3091</v>
      </c>
      <c r="H131">
        <v>1858</v>
      </c>
    </row>
    <row r="132" spans="1:8">
      <c r="A132" s="31" t="s">
        <v>3092</v>
      </c>
      <c r="B132">
        <v>25</v>
      </c>
      <c r="C132">
        <v>1833</v>
      </c>
      <c r="D132" t="s">
        <v>3093</v>
      </c>
      <c r="E132" t="s">
        <v>2889</v>
      </c>
      <c r="F132" t="s">
        <v>3094</v>
      </c>
      <c r="H132">
        <v>1858</v>
      </c>
    </row>
    <row r="133" spans="1:8">
      <c r="A133" s="31" t="s">
        <v>3095</v>
      </c>
      <c r="B133">
        <v>21</v>
      </c>
      <c r="C133">
        <v>1837</v>
      </c>
      <c r="D133" t="s">
        <v>3096</v>
      </c>
      <c r="E133" t="s">
        <v>2904</v>
      </c>
      <c r="F133" t="s">
        <v>3097</v>
      </c>
      <c r="H133">
        <v>1858</v>
      </c>
    </row>
    <row r="134" spans="1:8">
      <c r="A134" s="31" t="s">
        <v>486</v>
      </c>
      <c r="B134">
        <v>61</v>
      </c>
      <c r="C134">
        <v>1789</v>
      </c>
      <c r="D134" t="s">
        <v>3098</v>
      </c>
      <c r="E134" t="s">
        <v>2904</v>
      </c>
      <c r="F134" t="s">
        <v>3099</v>
      </c>
      <c r="G134" t="s">
        <v>3279</v>
      </c>
      <c r="H134">
        <v>1858</v>
      </c>
    </row>
    <row r="135" spans="1:8">
      <c r="A135" s="31" t="s">
        <v>3100</v>
      </c>
      <c r="B135">
        <v>37</v>
      </c>
      <c r="C135">
        <v>1821</v>
      </c>
      <c r="D135" t="s">
        <v>3101</v>
      </c>
      <c r="E135" t="s">
        <v>3102</v>
      </c>
      <c r="F135" t="s">
        <v>3103</v>
      </c>
      <c r="H135">
        <v>1858</v>
      </c>
    </row>
    <row r="136" spans="1:8">
      <c r="A136" s="31" t="s">
        <v>3104</v>
      </c>
      <c r="B136">
        <v>31</v>
      </c>
      <c r="C136">
        <v>1827</v>
      </c>
      <c r="D136" t="s">
        <v>3105</v>
      </c>
      <c r="E136" t="s">
        <v>3106</v>
      </c>
      <c r="F136" t="s">
        <v>2863</v>
      </c>
      <c r="H136">
        <v>1858</v>
      </c>
    </row>
    <row r="137" spans="1:8">
      <c r="A137" s="31" t="s">
        <v>3107</v>
      </c>
      <c r="B137">
        <v>36</v>
      </c>
      <c r="C137">
        <v>1822</v>
      </c>
      <c r="D137" t="s">
        <v>3108</v>
      </c>
      <c r="E137" t="s">
        <v>3109</v>
      </c>
      <c r="F137" t="s">
        <v>3110</v>
      </c>
      <c r="H137">
        <v>1858</v>
      </c>
    </row>
    <row r="138" spans="1:8">
      <c r="A138" s="31" t="s">
        <v>3111</v>
      </c>
      <c r="B138">
        <v>50</v>
      </c>
      <c r="C138">
        <v>1800</v>
      </c>
      <c r="D138" t="s">
        <v>3112</v>
      </c>
      <c r="E138" t="s">
        <v>2768</v>
      </c>
      <c r="F138" t="s">
        <v>3113</v>
      </c>
      <c r="G138" t="s">
        <v>3285</v>
      </c>
      <c r="H138">
        <v>1858</v>
      </c>
    </row>
    <row r="139" spans="1:8">
      <c r="A139" s="31" t="s">
        <v>3114</v>
      </c>
      <c r="B139">
        <v>32</v>
      </c>
      <c r="C139">
        <v>1826</v>
      </c>
      <c r="D139" t="s">
        <v>3115</v>
      </c>
      <c r="E139" t="s">
        <v>3116</v>
      </c>
      <c r="F139" t="s">
        <v>3117</v>
      </c>
      <c r="H139">
        <v>1858</v>
      </c>
    </row>
    <row r="140" spans="1:8">
      <c r="A140" s="31" t="s">
        <v>3118</v>
      </c>
      <c r="B140">
        <v>48</v>
      </c>
      <c r="C140">
        <v>1810</v>
      </c>
      <c r="D140" t="s">
        <v>3119</v>
      </c>
      <c r="E140" t="s">
        <v>3013</v>
      </c>
      <c r="F140" t="s">
        <v>2727</v>
      </c>
      <c r="H140">
        <v>1858</v>
      </c>
    </row>
    <row r="141" spans="1:8">
      <c r="A141" s="31" t="s">
        <v>3120</v>
      </c>
      <c r="B141">
        <v>41</v>
      </c>
      <c r="C141">
        <v>1817</v>
      </c>
      <c r="D141" t="s">
        <v>3121</v>
      </c>
      <c r="E141" t="s">
        <v>3084</v>
      </c>
      <c r="F141" t="s">
        <v>3122</v>
      </c>
      <c r="H141">
        <v>1858</v>
      </c>
    </row>
    <row r="142" spans="1:8">
      <c r="A142" s="31" t="s">
        <v>3123</v>
      </c>
      <c r="B142">
        <v>51</v>
      </c>
      <c r="C142">
        <v>1799</v>
      </c>
      <c r="D142" t="s">
        <v>3124</v>
      </c>
      <c r="E142" t="s">
        <v>3125</v>
      </c>
      <c r="F142" t="s">
        <v>3126</v>
      </c>
      <c r="G142" t="s">
        <v>3278</v>
      </c>
      <c r="H142">
        <v>1858</v>
      </c>
    </row>
    <row r="143" spans="1:8">
      <c r="A143" s="31" t="s">
        <v>3127</v>
      </c>
      <c r="B143">
        <v>63</v>
      </c>
      <c r="C143">
        <v>1795</v>
      </c>
      <c r="D143" t="s">
        <v>3128</v>
      </c>
      <c r="E143" t="s">
        <v>3125</v>
      </c>
      <c r="F143" t="s">
        <v>3129</v>
      </c>
      <c r="H143">
        <v>1858</v>
      </c>
    </row>
    <row r="144" spans="1:8">
      <c r="A144" s="31" t="s">
        <v>3130</v>
      </c>
      <c r="B144">
        <v>52</v>
      </c>
      <c r="C144">
        <v>1806</v>
      </c>
      <c r="D144" t="s">
        <v>3131</v>
      </c>
      <c r="E144" t="s">
        <v>3125</v>
      </c>
      <c r="F144" t="s">
        <v>3132</v>
      </c>
      <c r="H144">
        <v>1858</v>
      </c>
    </row>
    <row r="145" spans="1:8">
      <c r="A145" s="31" t="s">
        <v>3133</v>
      </c>
      <c r="B145">
        <v>57</v>
      </c>
      <c r="C145">
        <v>1801</v>
      </c>
      <c r="D145" t="s">
        <v>3134</v>
      </c>
      <c r="E145" t="s">
        <v>3135</v>
      </c>
      <c r="F145" t="s">
        <v>3136</v>
      </c>
      <c r="H145">
        <v>1858</v>
      </c>
    </row>
    <row r="146" spans="1:8">
      <c r="A146" s="31" t="s">
        <v>3137</v>
      </c>
      <c r="B146">
        <v>46</v>
      </c>
      <c r="C146">
        <v>1812</v>
      </c>
      <c r="D146" t="s">
        <v>3138</v>
      </c>
      <c r="E146" t="s">
        <v>3135</v>
      </c>
      <c r="F146" t="s">
        <v>3139</v>
      </c>
      <c r="H146">
        <v>1858</v>
      </c>
    </row>
    <row r="147" spans="1:8">
      <c r="A147" s="31" t="s">
        <v>3140</v>
      </c>
      <c r="B147">
        <v>26</v>
      </c>
      <c r="C147">
        <v>1832</v>
      </c>
      <c r="D147" t="s">
        <v>3141</v>
      </c>
      <c r="E147" t="s">
        <v>3135</v>
      </c>
      <c r="F147" t="s">
        <v>3142</v>
      </c>
      <c r="H147">
        <v>1858</v>
      </c>
    </row>
    <row r="148" spans="1:8">
      <c r="A148" s="31" t="s">
        <v>3143</v>
      </c>
      <c r="B148">
        <v>50</v>
      </c>
      <c r="C148">
        <v>1800</v>
      </c>
      <c r="D148" t="s">
        <v>3144</v>
      </c>
      <c r="E148" t="s">
        <v>3145</v>
      </c>
      <c r="F148" t="s">
        <v>3146</v>
      </c>
      <c r="G148" t="s">
        <v>3287</v>
      </c>
      <c r="H148">
        <v>1858</v>
      </c>
    </row>
    <row r="149" spans="1:8">
      <c r="A149" s="31" t="s">
        <v>3147</v>
      </c>
      <c r="B149">
        <v>63</v>
      </c>
      <c r="C149">
        <v>1795</v>
      </c>
      <c r="D149" t="s">
        <v>3148</v>
      </c>
      <c r="E149" t="s">
        <v>3145</v>
      </c>
      <c r="F149" t="s">
        <v>3149</v>
      </c>
      <c r="H149">
        <v>1858</v>
      </c>
    </row>
    <row r="150" spans="1:8">
      <c r="A150" s="31" t="s">
        <v>3150</v>
      </c>
      <c r="B150">
        <v>63</v>
      </c>
      <c r="C150">
        <v>1795</v>
      </c>
      <c r="D150" t="s">
        <v>3151</v>
      </c>
      <c r="E150" t="s">
        <v>3152</v>
      </c>
      <c r="F150" t="s">
        <v>3153</v>
      </c>
      <c r="H150">
        <v>1858</v>
      </c>
    </row>
    <row r="151" spans="1:8">
      <c r="A151" s="31" t="s">
        <v>3154</v>
      </c>
      <c r="B151">
        <v>58</v>
      </c>
      <c r="C151">
        <v>1800</v>
      </c>
      <c r="D151" t="s">
        <v>3155</v>
      </c>
      <c r="E151" t="s">
        <v>3152</v>
      </c>
      <c r="F151" t="s">
        <v>3156</v>
      </c>
      <c r="H151">
        <v>1858</v>
      </c>
    </row>
    <row r="152" spans="1:8">
      <c r="A152" s="31" t="s">
        <v>3157</v>
      </c>
      <c r="B152">
        <v>54</v>
      </c>
      <c r="C152">
        <v>1804</v>
      </c>
      <c r="D152" t="s">
        <v>3158</v>
      </c>
      <c r="E152" t="s">
        <v>3159</v>
      </c>
      <c r="F152" t="s">
        <v>3160</v>
      </c>
      <c r="H152">
        <v>1858</v>
      </c>
    </row>
    <row r="153" spans="1:8">
      <c r="A153" s="31" t="s">
        <v>3161</v>
      </c>
      <c r="B153">
        <v>67</v>
      </c>
      <c r="C153">
        <v>1791</v>
      </c>
      <c r="D153" t="s">
        <v>3162</v>
      </c>
      <c r="E153" t="s">
        <v>3159</v>
      </c>
      <c r="F153" t="s">
        <v>3163</v>
      </c>
      <c r="H153">
        <v>1858</v>
      </c>
    </row>
    <row r="154" spans="1:8">
      <c r="A154" s="31" t="s">
        <v>3164</v>
      </c>
      <c r="B154">
        <v>69</v>
      </c>
      <c r="C154">
        <v>1789</v>
      </c>
      <c r="D154" t="s">
        <v>3165</v>
      </c>
      <c r="E154" t="s">
        <v>3159</v>
      </c>
      <c r="F154" t="s">
        <v>3166</v>
      </c>
      <c r="H154">
        <v>1858</v>
      </c>
    </row>
    <row r="155" spans="1:8">
      <c r="A155" s="31" t="s">
        <v>3167</v>
      </c>
      <c r="B155">
        <v>76</v>
      </c>
      <c r="C155">
        <v>1782</v>
      </c>
      <c r="D155" t="s">
        <v>3168</v>
      </c>
      <c r="E155" t="s">
        <v>3169</v>
      </c>
      <c r="F155" t="s">
        <v>3170</v>
      </c>
      <c r="H155">
        <v>1858</v>
      </c>
    </row>
    <row r="156" spans="1:8">
      <c r="A156" s="31" t="s">
        <v>3171</v>
      </c>
      <c r="B156">
        <v>23</v>
      </c>
      <c r="C156">
        <v>1835</v>
      </c>
      <c r="D156" t="s">
        <v>3172</v>
      </c>
      <c r="E156" t="s">
        <v>2951</v>
      </c>
      <c r="F156" t="s">
        <v>3173</v>
      </c>
      <c r="H156">
        <v>1858</v>
      </c>
    </row>
    <row r="157" spans="1:8">
      <c r="A157" s="31" t="s">
        <v>3174</v>
      </c>
      <c r="B157">
        <v>9</v>
      </c>
      <c r="C157">
        <v>1849</v>
      </c>
      <c r="D157" t="s">
        <v>3175</v>
      </c>
      <c r="E157" t="s">
        <v>2796</v>
      </c>
      <c r="F157" t="s">
        <v>2727</v>
      </c>
      <c r="H157">
        <v>1858</v>
      </c>
    </row>
    <row r="158" spans="1:8">
      <c r="A158" s="31" t="s">
        <v>3176</v>
      </c>
      <c r="B158">
        <v>61</v>
      </c>
      <c r="C158">
        <v>1789</v>
      </c>
      <c r="D158" t="s">
        <v>3177</v>
      </c>
      <c r="E158" t="s">
        <v>2845</v>
      </c>
      <c r="F158" t="s">
        <v>3178</v>
      </c>
      <c r="G158" t="s">
        <v>3281</v>
      </c>
      <c r="H158">
        <v>1858</v>
      </c>
    </row>
    <row r="159" spans="1:8">
      <c r="A159" s="31" t="s">
        <v>3179</v>
      </c>
      <c r="B159">
        <v>63</v>
      </c>
      <c r="C159">
        <v>1795</v>
      </c>
      <c r="D159" t="s">
        <v>3023</v>
      </c>
      <c r="E159" t="s">
        <v>2819</v>
      </c>
      <c r="F159" t="s">
        <v>3180</v>
      </c>
      <c r="H159">
        <v>1858</v>
      </c>
    </row>
    <row r="160" spans="1:8">
      <c r="A160" s="31" t="s">
        <v>3181</v>
      </c>
      <c r="B160">
        <v>43</v>
      </c>
      <c r="C160">
        <v>1815</v>
      </c>
      <c r="D160" t="s">
        <v>3182</v>
      </c>
      <c r="E160" t="s">
        <v>3183</v>
      </c>
      <c r="F160" t="s">
        <v>3184</v>
      </c>
      <c r="H160">
        <v>1858</v>
      </c>
    </row>
    <row r="161" spans="1:8">
      <c r="A161" s="31" t="s">
        <v>3185</v>
      </c>
      <c r="B161">
        <v>51</v>
      </c>
      <c r="C161">
        <v>1807</v>
      </c>
      <c r="D161" t="s">
        <v>3186</v>
      </c>
      <c r="E161" t="s">
        <v>3183</v>
      </c>
      <c r="F161" t="s">
        <v>3187</v>
      </c>
      <c r="H161">
        <v>1858</v>
      </c>
    </row>
    <row r="162" spans="1:8">
      <c r="A162" s="31" t="s">
        <v>3188</v>
      </c>
      <c r="B162">
        <v>63</v>
      </c>
      <c r="C162">
        <v>1787</v>
      </c>
      <c r="D162" t="s">
        <v>3189</v>
      </c>
      <c r="E162" t="s">
        <v>3183</v>
      </c>
      <c r="F162" t="s">
        <v>3190</v>
      </c>
      <c r="G162" t="s">
        <v>3285</v>
      </c>
      <c r="H162">
        <v>1858</v>
      </c>
    </row>
    <row r="163" spans="1:8">
      <c r="A163" s="31" t="s">
        <v>3191</v>
      </c>
      <c r="B163">
        <v>51</v>
      </c>
      <c r="C163">
        <v>1799</v>
      </c>
      <c r="D163" t="s">
        <v>3192</v>
      </c>
      <c r="E163" t="s">
        <v>2726</v>
      </c>
      <c r="F163" t="s">
        <v>3193</v>
      </c>
      <c r="G163" t="s">
        <v>3285</v>
      </c>
      <c r="H163">
        <v>1858</v>
      </c>
    </row>
    <row r="164" spans="1:8">
      <c r="A164" s="31" t="s">
        <v>3194</v>
      </c>
      <c r="B164">
        <v>35</v>
      </c>
      <c r="C164">
        <v>1823</v>
      </c>
      <c r="D164" t="s">
        <v>3195</v>
      </c>
      <c r="E164" t="s">
        <v>2913</v>
      </c>
      <c r="F164" t="s">
        <v>2727</v>
      </c>
      <c r="H164">
        <v>1858</v>
      </c>
    </row>
    <row r="165" spans="1:8">
      <c r="A165" s="31" t="s">
        <v>5097</v>
      </c>
      <c r="B165">
        <v>64</v>
      </c>
      <c r="C165">
        <v>1794</v>
      </c>
      <c r="D165" t="s">
        <v>3196</v>
      </c>
      <c r="E165" t="s">
        <v>3197</v>
      </c>
      <c r="F165" t="s">
        <v>3198</v>
      </c>
      <c r="H165">
        <v>1858</v>
      </c>
    </row>
    <row r="166" spans="1:8">
      <c r="A166" s="31" t="s">
        <v>5098</v>
      </c>
      <c r="B166">
        <v>59</v>
      </c>
      <c r="C166">
        <v>1799</v>
      </c>
      <c r="D166" t="s">
        <v>3199</v>
      </c>
      <c r="E166" t="s">
        <v>3200</v>
      </c>
      <c r="F166" t="s">
        <v>3201</v>
      </c>
      <c r="H166">
        <v>1858</v>
      </c>
    </row>
    <row r="167" spans="1:8">
      <c r="A167" s="31" t="s">
        <v>5099</v>
      </c>
      <c r="B167">
        <v>71</v>
      </c>
      <c r="C167">
        <v>1779</v>
      </c>
      <c r="D167" t="s">
        <v>3202</v>
      </c>
      <c r="E167" t="s">
        <v>3203</v>
      </c>
      <c r="F167" t="s">
        <v>3204</v>
      </c>
      <c r="G167" t="s">
        <v>3280</v>
      </c>
      <c r="H167">
        <v>1858</v>
      </c>
    </row>
    <row r="168" spans="1:8">
      <c r="A168" s="31" t="s">
        <v>5100</v>
      </c>
      <c r="B168">
        <v>61</v>
      </c>
      <c r="C168">
        <v>1797</v>
      </c>
      <c r="D168" t="s">
        <v>3205</v>
      </c>
      <c r="E168" t="s">
        <v>3206</v>
      </c>
      <c r="F168" t="s">
        <v>3207</v>
      </c>
      <c r="H168">
        <v>1858</v>
      </c>
    </row>
    <row r="169" spans="1:8">
      <c r="A169" s="31" t="s">
        <v>5101</v>
      </c>
      <c r="B169">
        <v>59</v>
      </c>
      <c r="C169">
        <v>1791</v>
      </c>
      <c r="D169" t="s">
        <v>3208</v>
      </c>
      <c r="E169" t="s">
        <v>3209</v>
      </c>
      <c r="F169" t="s">
        <v>3210</v>
      </c>
      <c r="G169" t="s">
        <v>3282</v>
      </c>
      <c r="H169">
        <v>1858</v>
      </c>
    </row>
    <row r="170" spans="1:8">
      <c r="A170" s="31" t="s">
        <v>5102</v>
      </c>
      <c r="B170">
        <v>53</v>
      </c>
      <c r="C170">
        <v>1805</v>
      </c>
      <c r="D170" t="s">
        <v>3211</v>
      </c>
      <c r="E170" t="s">
        <v>3212</v>
      </c>
      <c r="F170" t="s">
        <v>3213</v>
      </c>
      <c r="H170">
        <v>1858</v>
      </c>
    </row>
    <row r="171" spans="1:8">
      <c r="A171" s="31" t="s">
        <v>5103</v>
      </c>
      <c r="B171">
        <v>55</v>
      </c>
      <c r="C171">
        <v>1803</v>
      </c>
      <c r="D171" t="s">
        <v>3214</v>
      </c>
      <c r="E171" t="s">
        <v>3215</v>
      </c>
      <c r="F171" t="s">
        <v>3216</v>
      </c>
      <c r="H171">
        <v>1858</v>
      </c>
    </row>
    <row r="172" spans="1:8">
      <c r="A172" s="31" t="s">
        <v>5104</v>
      </c>
      <c r="B172">
        <v>64</v>
      </c>
      <c r="C172">
        <v>1786</v>
      </c>
      <c r="D172" t="s">
        <v>3217</v>
      </c>
      <c r="E172" t="s">
        <v>3218</v>
      </c>
      <c r="F172" t="s">
        <v>3219</v>
      </c>
      <c r="G172" t="s">
        <v>3278</v>
      </c>
      <c r="H172">
        <v>1858</v>
      </c>
    </row>
    <row r="173" spans="1:8">
      <c r="A173" s="31" t="s">
        <v>5105</v>
      </c>
      <c r="B173">
        <v>39</v>
      </c>
      <c r="C173">
        <v>1819</v>
      </c>
      <c r="D173" t="s">
        <v>3220</v>
      </c>
      <c r="E173" t="s">
        <v>2955</v>
      </c>
      <c r="F173" t="s">
        <v>3221</v>
      </c>
      <c r="H173">
        <v>1858</v>
      </c>
    </row>
    <row r="174" spans="1:8">
      <c r="A174" s="31" t="s">
        <v>5106</v>
      </c>
      <c r="B174">
        <v>65</v>
      </c>
      <c r="C174">
        <v>1793</v>
      </c>
      <c r="D174" t="s">
        <v>3222</v>
      </c>
      <c r="E174" t="s">
        <v>3013</v>
      </c>
      <c r="F174" t="s">
        <v>2727</v>
      </c>
      <c r="H174">
        <v>1858</v>
      </c>
    </row>
    <row r="175" spans="1:8">
      <c r="A175" s="31" t="s">
        <v>5107</v>
      </c>
      <c r="B175">
        <v>4</v>
      </c>
      <c r="C175">
        <v>1854</v>
      </c>
      <c r="D175" t="s">
        <v>3223</v>
      </c>
      <c r="E175" t="s">
        <v>2798</v>
      </c>
      <c r="F175" t="s">
        <v>2727</v>
      </c>
      <c r="H175">
        <v>1858</v>
      </c>
    </row>
    <row r="176" spans="1:8">
      <c r="A176" s="31" t="s">
        <v>3224</v>
      </c>
      <c r="B176">
        <v>50</v>
      </c>
      <c r="C176">
        <v>1800</v>
      </c>
      <c r="D176" t="s">
        <v>3225</v>
      </c>
      <c r="E176" t="s">
        <v>3226</v>
      </c>
      <c r="F176" t="s">
        <v>3227</v>
      </c>
      <c r="G176" t="s">
        <v>3288</v>
      </c>
      <c r="H176">
        <v>1858</v>
      </c>
    </row>
    <row r="177" spans="1:10">
      <c r="A177" s="31" t="s">
        <v>3228</v>
      </c>
      <c r="B177">
        <v>48</v>
      </c>
      <c r="C177">
        <v>1810</v>
      </c>
      <c r="D177" t="s">
        <v>3229</v>
      </c>
      <c r="E177" t="s">
        <v>3230</v>
      </c>
      <c r="F177" t="s">
        <v>3231</v>
      </c>
      <c r="H177">
        <v>1858</v>
      </c>
    </row>
    <row r="178" spans="1:10">
      <c r="A178" s="31" t="s">
        <v>4614</v>
      </c>
      <c r="B178">
        <v>41</v>
      </c>
      <c r="C178">
        <v>1817</v>
      </c>
      <c r="D178" t="s">
        <v>3232</v>
      </c>
      <c r="E178" t="s">
        <v>3233</v>
      </c>
      <c r="F178" t="s">
        <v>3234</v>
      </c>
      <c r="H178">
        <v>1858</v>
      </c>
    </row>
    <row r="179" spans="1:10">
      <c r="A179" s="31" t="s">
        <v>4615</v>
      </c>
      <c r="B179">
        <v>71</v>
      </c>
      <c r="C179">
        <v>1787</v>
      </c>
      <c r="D179" t="s">
        <v>3235</v>
      </c>
      <c r="E179" t="s">
        <v>3236</v>
      </c>
      <c r="F179" t="s">
        <v>3237</v>
      </c>
      <c r="H179">
        <v>1858</v>
      </c>
    </row>
    <row r="180" spans="1:10">
      <c r="A180" s="31" t="s">
        <v>4616</v>
      </c>
      <c r="B180">
        <v>54</v>
      </c>
      <c r="C180">
        <v>1804</v>
      </c>
      <c r="D180" t="s">
        <v>3238</v>
      </c>
      <c r="E180" t="s">
        <v>3239</v>
      </c>
      <c r="F180" t="s">
        <v>3240</v>
      </c>
      <c r="H180">
        <v>1858</v>
      </c>
    </row>
    <row r="181" spans="1:10">
      <c r="A181" s="31" t="s">
        <v>4617</v>
      </c>
      <c r="B181">
        <v>44</v>
      </c>
      <c r="C181">
        <v>1814</v>
      </c>
      <c r="D181" t="s">
        <v>3241</v>
      </c>
      <c r="E181" t="s">
        <v>3242</v>
      </c>
      <c r="F181" t="s">
        <v>3243</v>
      </c>
      <c r="H181">
        <v>1858</v>
      </c>
    </row>
    <row r="182" spans="1:10">
      <c r="A182" s="31" t="s">
        <v>4618</v>
      </c>
      <c r="B182">
        <v>57</v>
      </c>
      <c r="C182">
        <v>1801</v>
      </c>
      <c r="D182" t="s">
        <v>3244</v>
      </c>
      <c r="E182" t="s">
        <v>3242</v>
      </c>
      <c r="F182" t="s">
        <v>3245</v>
      </c>
      <c r="H182">
        <v>1858</v>
      </c>
    </row>
    <row r="183" spans="1:10">
      <c r="A183" s="31" t="s">
        <v>4619</v>
      </c>
      <c r="B183">
        <v>72</v>
      </c>
      <c r="C183">
        <v>1786</v>
      </c>
      <c r="D183" t="s">
        <v>3246</v>
      </c>
      <c r="E183" t="s">
        <v>3247</v>
      </c>
      <c r="F183" t="s">
        <v>3248</v>
      </c>
      <c r="H183">
        <v>1858</v>
      </c>
    </row>
    <row r="184" spans="1:10">
      <c r="A184" s="31" t="s">
        <v>4620</v>
      </c>
      <c r="B184">
        <v>60</v>
      </c>
      <c r="C184">
        <v>1798</v>
      </c>
      <c r="D184" t="s">
        <v>3249</v>
      </c>
      <c r="E184" t="s">
        <v>3247</v>
      </c>
      <c r="F184" t="s">
        <v>3250</v>
      </c>
      <c r="H184">
        <v>1858</v>
      </c>
    </row>
    <row r="185" spans="1:10">
      <c r="A185" s="310" t="s">
        <v>4621</v>
      </c>
      <c r="B185">
        <v>68</v>
      </c>
      <c r="C185">
        <v>1790</v>
      </c>
      <c r="D185" t="s">
        <v>3251</v>
      </c>
      <c r="E185" t="s">
        <v>3252</v>
      </c>
      <c r="F185" t="s">
        <v>3253</v>
      </c>
      <c r="H185">
        <v>1858</v>
      </c>
      <c r="J185" s="127" t="s">
        <v>4110</v>
      </c>
    </row>
    <row r="186" spans="1:10">
      <c r="A186" s="31" t="s">
        <v>4622</v>
      </c>
      <c r="B186">
        <v>60</v>
      </c>
      <c r="C186">
        <v>1798</v>
      </c>
      <c r="D186" t="s">
        <v>3254</v>
      </c>
      <c r="E186" t="s">
        <v>3255</v>
      </c>
      <c r="F186" t="s">
        <v>3256</v>
      </c>
      <c r="H186">
        <v>1858</v>
      </c>
    </row>
    <row r="187" spans="1:10">
      <c r="A187" s="31" t="s">
        <v>3257</v>
      </c>
      <c r="B187">
        <v>64</v>
      </c>
      <c r="C187">
        <v>1794</v>
      </c>
      <c r="D187" t="s">
        <v>3258</v>
      </c>
      <c r="E187" t="s">
        <v>2897</v>
      </c>
      <c r="F187" t="s">
        <v>3259</v>
      </c>
      <c r="H187">
        <v>1858</v>
      </c>
    </row>
    <row r="188" spans="1:10">
      <c r="A188" s="31" t="s">
        <v>3260</v>
      </c>
      <c r="B188">
        <v>44</v>
      </c>
      <c r="C188">
        <v>1814</v>
      </c>
      <c r="D188" t="s">
        <v>3261</v>
      </c>
      <c r="E188" t="s">
        <v>2955</v>
      </c>
      <c r="F188" t="s">
        <v>3262</v>
      </c>
      <c r="H188">
        <v>1858</v>
      </c>
    </row>
    <row r="189" spans="1:10">
      <c r="A189" s="31" t="s">
        <v>3263</v>
      </c>
      <c r="B189">
        <v>60</v>
      </c>
      <c r="C189">
        <v>1798</v>
      </c>
      <c r="D189" t="s">
        <v>3264</v>
      </c>
      <c r="E189" t="s">
        <v>3053</v>
      </c>
      <c r="F189" t="s">
        <v>3265</v>
      </c>
      <c r="H189">
        <v>1858</v>
      </c>
    </row>
    <row r="190" spans="1:10">
      <c r="A190" s="31" t="s">
        <v>3266</v>
      </c>
      <c r="B190">
        <v>54</v>
      </c>
      <c r="C190">
        <v>1804</v>
      </c>
      <c r="D190" t="s">
        <v>3267</v>
      </c>
      <c r="E190" t="s">
        <v>2893</v>
      </c>
      <c r="F190" t="s">
        <v>3268</v>
      </c>
      <c r="H190">
        <v>1858</v>
      </c>
    </row>
    <row r="191" spans="1:10">
      <c r="A191" s="31" t="s">
        <v>3269</v>
      </c>
      <c r="B191">
        <v>35</v>
      </c>
      <c r="C191">
        <v>1823</v>
      </c>
      <c r="D191" t="s">
        <v>3270</v>
      </c>
      <c r="E191" t="s">
        <v>3271</v>
      </c>
      <c r="F191" t="s">
        <v>3272</v>
      </c>
      <c r="H191">
        <v>1858</v>
      </c>
    </row>
    <row r="192" spans="1:10" ht="15.75" thickBot="1">
      <c r="A192" s="308" t="s">
        <v>3273</v>
      </c>
      <c r="B192" s="309">
        <v>54</v>
      </c>
      <c r="C192" s="309">
        <v>1804</v>
      </c>
      <c r="D192" s="309" t="s">
        <v>3274</v>
      </c>
      <c r="E192" s="309" t="s">
        <v>3275</v>
      </c>
      <c r="F192" s="309" t="s">
        <v>3276</v>
      </c>
      <c r="G192" s="309"/>
      <c r="H192" s="309">
        <v>1858</v>
      </c>
    </row>
    <row r="193" spans="1:8">
      <c r="A193" s="31" t="s">
        <v>3367</v>
      </c>
      <c r="B193">
        <v>57</v>
      </c>
      <c r="C193">
        <v>1801</v>
      </c>
      <c r="D193" t="s">
        <v>3368</v>
      </c>
      <c r="E193" t="s">
        <v>3369</v>
      </c>
      <c r="H193">
        <v>1850</v>
      </c>
    </row>
    <row r="194" spans="1:8">
      <c r="A194" s="31" t="s">
        <v>3370</v>
      </c>
      <c r="B194">
        <v>57</v>
      </c>
      <c r="C194">
        <v>1801</v>
      </c>
      <c r="D194" t="s">
        <v>2735</v>
      </c>
      <c r="E194" t="s">
        <v>3371</v>
      </c>
      <c r="G194" t="s">
        <v>3528</v>
      </c>
      <c r="H194">
        <v>1850</v>
      </c>
    </row>
    <row r="195" spans="1:8">
      <c r="A195" s="31" t="s">
        <v>3372</v>
      </c>
      <c r="B195">
        <v>74</v>
      </c>
      <c r="C195">
        <v>1784</v>
      </c>
      <c r="D195" t="s">
        <v>2738</v>
      </c>
      <c r="E195" t="s">
        <v>3371</v>
      </c>
      <c r="G195" t="s">
        <v>3529</v>
      </c>
      <c r="H195">
        <v>1850</v>
      </c>
    </row>
    <row r="196" spans="1:8">
      <c r="A196" s="31" t="s">
        <v>3373</v>
      </c>
      <c r="B196">
        <v>47</v>
      </c>
      <c r="C196">
        <v>1811</v>
      </c>
      <c r="D196" t="s">
        <v>2742</v>
      </c>
      <c r="E196" t="s">
        <v>3371</v>
      </c>
      <c r="G196" t="s">
        <v>3530</v>
      </c>
      <c r="H196">
        <v>1850</v>
      </c>
    </row>
    <row r="197" spans="1:8">
      <c r="A197" s="31" t="s">
        <v>971</v>
      </c>
      <c r="B197">
        <v>64</v>
      </c>
      <c r="C197">
        <v>1794</v>
      </c>
      <c r="D197" t="s">
        <v>2744</v>
      </c>
      <c r="E197" t="s">
        <v>3371</v>
      </c>
      <c r="H197">
        <v>1850</v>
      </c>
    </row>
    <row r="198" spans="1:8">
      <c r="A198" s="31" t="s">
        <v>3374</v>
      </c>
      <c r="B198">
        <v>46</v>
      </c>
      <c r="C198">
        <v>1812</v>
      </c>
      <c r="D198" t="s">
        <v>3375</v>
      </c>
      <c r="E198" t="s">
        <v>3376</v>
      </c>
      <c r="G198" t="s">
        <v>3531</v>
      </c>
      <c r="H198">
        <v>1850</v>
      </c>
    </row>
    <row r="199" spans="1:8">
      <c r="A199" s="31" t="s">
        <v>4394</v>
      </c>
      <c r="B199">
        <v>57</v>
      </c>
      <c r="C199">
        <v>1801</v>
      </c>
      <c r="D199" t="s">
        <v>2747</v>
      </c>
      <c r="E199" t="s">
        <v>3377</v>
      </c>
      <c r="G199" t="s">
        <v>3532</v>
      </c>
      <c r="H199">
        <v>1850</v>
      </c>
    </row>
    <row r="200" spans="1:8">
      <c r="A200" s="31" t="s">
        <v>4376</v>
      </c>
      <c r="B200">
        <v>37</v>
      </c>
      <c r="C200">
        <v>1821</v>
      </c>
      <c r="D200" t="s">
        <v>2750</v>
      </c>
      <c r="E200" t="s">
        <v>3378</v>
      </c>
      <c r="H200">
        <v>1850</v>
      </c>
    </row>
    <row r="201" spans="1:8">
      <c r="A201" s="31" t="s">
        <v>4377</v>
      </c>
      <c r="B201">
        <v>56</v>
      </c>
      <c r="C201">
        <v>1802</v>
      </c>
      <c r="D201" t="s">
        <v>2753</v>
      </c>
      <c r="E201" t="s">
        <v>3378</v>
      </c>
      <c r="H201">
        <v>1850</v>
      </c>
    </row>
    <row r="202" spans="1:8">
      <c r="A202" s="31" t="s">
        <v>4378</v>
      </c>
      <c r="B202">
        <v>60</v>
      </c>
      <c r="C202">
        <v>1798</v>
      </c>
      <c r="D202" t="s">
        <v>2755</v>
      </c>
      <c r="E202" t="s">
        <v>3378</v>
      </c>
      <c r="H202">
        <v>1850</v>
      </c>
    </row>
    <row r="203" spans="1:8">
      <c r="A203" s="31" t="s">
        <v>4395</v>
      </c>
      <c r="B203">
        <v>66</v>
      </c>
      <c r="C203">
        <v>1792</v>
      </c>
      <c r="D203" t="s">
        <v>2758</v>
      </c>
      <c r="E203" t="s">
        <v>3378</v>
      </c>
      <c r="G203" t="s">
        <v>3533</v>
      </c>
      <c r="H203">
        <v>1850</v>
      </c>
    </row>
    <row r="204" spans="1:8">
      <c r="A204" s="31" t="s">
        <v>4396</v>
      </c>
      <c r="B204">
        <v>31</v>
      </c>
      <c r="C204">
        <v>1827</v>
      </c>
      <c r="D204" t="s">
        <v>2760</v>
      </c>
      <c r="E204" t="s">
        <v>3379</v>
      </c>
      <c r="H204">
        <v>1850</v>
      </c>
    </row>
    <row r="205" spans="1:8">
      <c r="A205" s="31" t="s">
        <v>4381</v>
      </c>
      <c r="B205">
        <v>50</v>
      </c>
      <c r="C205">
        <v>1808</v>
      </c>
      <c r="D205" t="s">
        <v>2763</v>
      </c>
      <c r="E205" t="s">
        <v>3379</v>
      </c>
      <c r="H205">
        <v>1850</v>
      </c>
    </row>
    <row r="206" spans="1:8">
      <c r="A206" s="161" t="s">
        <v>4397</v>
      </c>
      <c r="B206" s="158" t="s">
        <v>3549</v>
      </c>
      <c r="C206" s="158">
        <f>1850-16-31</f>
        <v>1803</v>
      </c>
      <c r="D206" s="158" t="s">
        <v>2766</v>
      </c>
      <c r="E206" s="158" t="s">
        <v>3379</v>
      </c>
      <c r="F206" s="158"/>
      <c r="G206" s="163" t="s">
        <v>3548</v>
      </c>
      <c r="H206">
        <v>1850</v>
      </c>
    </row>
    <row r="207" spans="1:8">
      <c r="A207" s="161" t="s">
        <v>4398</v>
      </c>
      <c r="B207" s="158" t="s">
        <v>3550</v>
      </c>
      <c r="C207" s="158">
        <f>1850-16-10</f>
        <v>1824</v>
      </c>
      <c r="D207" s="158" t="s">
        <v>3551</v>
      </c>
      <c r="E207" s="158"/>
      <c r="F207" s="158"/>
      <c r="G207" s="158">
        <v>1841</v>
      </c>
      <c r="H207">
        <v>1850</v>
      </c>
    </row>
    <row r="208" spans="1:8">
      <c r="A208" s="161" t="s">
        <v>4323</v>
      </c>
      <c r="B208" s="158">
        <v>16.5</v>
      </c>
      <c r="C208" s="158">
        <f>1850-Рев_tb[[#This Row],[Воз-т на момент переписи или предыдущей]]</f>
        <v>1833.5</v>
      </c>
      <c r="D208" s="158" t="s">
        <v>2635</v>
      </c>
      <c r="E208" s="158"/>
      <c r="F208" s="158"/>
      <c r="G208" s="158"/>
      <c r="H208">
        <v>1850</v>
      </c>
    </row>
    <row r="209" spans="1:8">
      <c r="A209" s="161" t="s">
        <v>4383</v>
      </c>
      <c r="B209" s="158">
        <v>41</v>
      </c>
      <c r="C209" s="158">
        <f>1850-Рев_tb[[#This Row],[Воз-т на момент переписи или предыдущей]]</f>
        <v>1809</v>
      </c>
      <c r="D209" s="158" t="s">
        <v>3552</v>
      </c>
      <c r="E209" s="158"/>
      <c r="F209" s="158"/>
      <c r="G209" s="158"/>
      <c r="H209">
        <v>1850</v>
      </c>
    </row>
    <row r="210" spans="1:8">
      <c r="A210" s="161" t="s">
        <v>4312</v>
      </c>
      <c r="B210" s="158">
        <v>17.5</v>
      </c>
      <c r="C210" s="158">
        <f>1850-Рев_tb[[#This Row],[Воз-т на момент переписи или предыдущей]]</f>
        <v>1832.5</v>
      </c>
      <c r="D210" s="158" t="s">
        <v>3553</v>
      </c>
      <c r="E210" s="158"/>
      <c r="F210" s="158"/>
      <c r="G210" s="158"/>
      <c r="H210">
        <v>1850</v>
      </c>
    </row>
    <row r="211" spans="1:8">
      <c r="A211" s="161" t="s">
        <v>4392</v>
      </c>
      <c r="B211" s="158">
        <v>15</v>
      </c>
      <c r="C211" s="158">
        <f>1850-Рев_tb[[#This Row],[Воз-т на момент переписи или предыдущей]]</f>
        <v>1835</v>
      </c>
      <c r="D211" s="158" t="s">
        <v>3553</v>
      </c>
      <c r="E211" s="158"/>
      <c r="F211" s="158"/>
      <c r="G211" s="158"/>
      <c r="H211">
        <v>1850</v>
      </c>
    </row>
    <row r="212" spans="1:8">
      <c r="A212" s="161" t="s">
        <v>4399</v>
      </c>
      <c r="B212" s="158">
        <v>19</v>
      </c>
      <c r="C212" s="158">
        <f>1850-Рев_tb[[#This Row],[Воз-т на момент переписи или предыдущей]]</f>
        <v>1831</v>
      </c>
      <c r="D212" s="158" t="s">
        <v>3554</v>
      </c>
      <c r="E212" s="158"/>
      <c r="F212" s="158"/>
      <c r="G212" s="158"/>
      <c r="H212">
        <v>1850</v>
      </c>
    </row>
    <row r="213" spans="1:8">
      <c r="A213" s="161" t="s">
        <v>4400</v>
      </c>
      <c r="B213" s="158">
        <v>71</v>
      </c>
      <c r="C213" s="158">
        <f>1850-Рев_tb[[#This Row],[Воз-т на момент переписи или предыдущей]]</f>
        <v>1779</v>
      </c>
      <c r="D213" s="158" t="s">
        <v>3555</v>
      </c>
      <c r="E213" s="158"/>
      <c r="F213" s="158"/>
      <c r="G213" s="158"/>
      <c r="H213">
        <v>1850</v>
      </c>
    </row>
    <row r="214" spans="1:8">
      <c r="A214" s="161" t="s">
        <v>4401</v>
      </c>
      <c r="B214" s="158">
        <v>40</v>
      </c>
      <c r="C214" s="158">
        <f>1850-Рев_tb[[#This Row],[Воз-т на момент переписи или предыдущей]]</f>
        <v>1810</v>
      </c>
      <c r="D214" s="158" t="s">
        <v>3556</v>
      </c>
      <c r="E214" s="158"/>
      <c r="F214" s="158"/>
      <c r="G214" s="158"/>
      <c r="H214">
        <v>1850</v>
      </c>
    </row>
    <row r="215" spans="1:8">
      <c r="A215" s="161" t="s">
        <v>4402</v>
      </c>
      <c r="B215" s="158">
        <v>14</v>
      </c>
      <c r="C215" s="158">
        <f>1850-Рев_tb[[#This Row],[Воз-т на момент переписи или предыдущей]]</f>
        <v>1836</v>
      </c>
      <c r="D215" s="158" t="s">
        <v>3356</v>
      </c>
      <c r="E215" s="158"/>
      <c r="F215" s="158"/>
      <c r="G215" s="158"/>
      <c r="H215">
        <v>1850</v>
      </c>
    </row>
    <row r="216" spans="1:8">
      <c r="A216" s="161" t="s">
        <v>4388</v>
      </c>
      <c r="B216" s="158">
        <v>10</v>
      </c>
      <c r="C216" s="158">
        <f>1850-Рев_tb[[#This Row],[Воз-т на момент переписи или предыдущей]]</f>
        <v>1840</v>
      </c>
      <c r="D216" s="158" t="s">
        <v>3356</v>
      </c>
      <c r="E216" s="158"/>
      <c r="F216" s="158"/>
      <c r="G216" s="158"/>
      <c r="H216">
        <v>1850</v>
      </c>
    </row>
    <row r="217" spans="1:8">
      <c r="A217" s="161" t="s">
        <v>4389</v>
      </c>
      <c r="B217" s="158">
        <v>8</v>
      </c>
      <c r="C217" s="158">
        <f>1850-Рев_tb[[#This Row],[Воз-т на момент переписи или предыдущей]]</f>
        <v>1842</v>
      </c>
      <c r="D217" s="158" t="s">
        <v>3356</v>
      </c>
      <c r="E217" s="158"/>
      <c r="F217" s="158"/>
      <c r="G217" s="158"/>
      <c r="H217">
        <v>1850</v>
      </c>
    </row>
    <row r="218" spans="1:8">
      <c r="A218" s="161" t="s">
        <v>4390</v>
      </c>
      <c r="B218" s="158">
        <v>6</v>
      </c>
      <c r="C218" s="158">
        <f>1850-Рев_tb[[#This Row],[Воз-т на момент переписи или предыдущей]]</f>
        <v>1844</v>
      </c>
      <c r="D218" s="158" t="s">
        <v>3356</v>
      </c>
      <c r="E218" s="158"/>
      <c r="F218" s="158"/>
      <c r="G218" s="158"/>
      <c r="H218">
        <v>1850</v>
      </c>
    </row>
    <row r="219" spans="1:8">
      <c r="A219" s="161" t="s">
        <v>4391</v>
      </c>
      <c r="B219" s="158">
        <v>3</v>
      </c>
      <c r="C219" s="158">
        <f>1850-Рев_tb[[#This Row],[Воз-т на момент переписи или предыдущей]]</f>
        <v>1847</v>
      </c>
      <c r="D219" s="158" t="s">
        <v>3356</v>
      </c>
      <c r="E219" s="158"/>
      <c r="F219" s="158"/>
      <c r="G219" s="158"/>
      <c r="H219">
        <v>1850</v>
      </c>
    </row>
    <row r="220" spans="1:8">
      <c r="A220" s="31" t="s">
        <v>4403</v>
      </c>
      <c r="B220">
        <v>60</v>
      </c>
      <c r="C220">
        <v>1798</v>
      </c>
      <c r="D220" t="s">
        <v>3193</v>
      </c>
      <c r="E220" t="s">
        <v>3380</v>
      </c>
      <c r="H220">
        <v>1850</v>
      </c>
    </row>
    <row r="221" spans="1:8">
      <c r="A221" s="31" t="s">
        <v>4795</v>
      </c>
      <c r="B221">
        <v>60</v>
      </c>
      <c r="C221">
        <v>1798</v>
      </c>
      <c r="D221" t="s">
        <v>2773</v>
      </c>
      <c r="E221" t="s">
        <v>3381</v>
      </c>
      <c r="H221">
        <v>1850</v>
      </c>
    </row>
    <row r="222" spans="1:8">
      <c r="A222" s="31" t="s">
        <v>4796</v>
      </c>
      <c r="B222">
        <v>58</v>
      </c>
      <c r="C222">
        <v>1800</v>
      </c>
      <c r="D222" t="s">
        <v>2776</v>
      </c>
      <c r="E222" t="s">
        <v>3381</v>
      </c>
      <c r="H222">
        <v>1850</v>
      </c>
    </row>
    <row r="223" spans="1:8">
      <c r="A223" s="31" t="s">
        <v>4797</v>
      </c>
      <c r="B223">
        <v>37</v>
      </c>
      <c r="C223">
        <v>1821</v>
      </c>
      <c r="D223" t="s">
        <v>2779</v>
      </c>
      <c r="E223" t="s">
        <v>3382</v>
      </c>
      <c r="H223">
        <v>1850</v>
      </c>
    </row>
    <row r="224" spans="1:8">
      <c r="A224" s="31" t="s">
        <v>4798</v>
      </c>
      <c r="B224">
        <v>62</v>
      </c>
      <c r="C224">
        <v>1796</v>
      </c>
      <c r="D224" t="s">
        <v>2781</v>
      </c>
      <c r="E224" t="s">
        <v>3382</v>
      </c>
      <c r="H224">
        <v>1850</v>
      </c>
    </row>
    <row r="225" spans="1:8">
      <c r="A225" s="31" t="s">
        <v>4724</v>
      </c>
      <c r="B225">
        <v>58</v>
      </c>
      <c r="C225">
        <v>1800</v>
      </c>
      <c r="D225" t="s">
        <v>2784</v>
      </c>
      <c r="E225" t="s">
        <v>3382</v>
      </c>
      <c r="H225">
        <v>1850</v>
      </c>
    </row>
    <row r="226" spans="1:8">
      <c r="A226" s="31" t="s">
        <v>4804</v>
      </c>
      <c r="B226">
        <v>48</v>
      </c>
      <c r="C226">
        <v>1810</v>
      </c>
      <c r="D226" t="s">
        <v>3383</v>
      </c>
      <c r="E226" t="s">
        <v>3384</v>
      </c>
      <c r="H226">
        <v>1850</v>
      </c>
    </row>
    <row r="227" spans="1:8">
      <c r="A227" s="31" t="s">
        <v>4800</v>
      </c>
      <c r="B227">
        <v>55</v>
      </c>
      <c r="C227">
        <v>1803</v>
      </c>
      <c r="D227" t="s">
        <v>2788</v>
      </c>
      <c r="E227" t="s">
        <v>3384</v>
      </c>
      <c r="H227">
        <v>1850</v>
      </c>
    </row>
    <row r="228" spans="1:8">
      <c r="A228" s="31" t="s">
        <v>4805</v>
      </c>
      <c r="B228">
        <v>68</v>
      </c>
      <c r="C228">
        <v>1790</v>
      </c>
      <c r="D228" t="s">
        <v>2791</v>
      </c>
      <c r="E228" t="s">
        <v>3384</v>
      </c>
      <c r="G228" t="s">
        <v>3529</v>
      </c>
      <c r="H228">
        <v>1850</v>
      </c>
    </row>
    <row r="229" spans="1:8">
      <c r="A229" s="31" t="s">
        <v>4806</v>
      </c>
      <c r="B229">
        <v>64</v>
      </c>
      <c r="C229">
        <v>1794</v>
      </c>
      <c r="D229" t="s">
        <v>2794</v>
      </c>
      <c r="E229" t="s">
        <v>3377</v>
      </c>
      <c r="H229">
        <v>1850</v>
      </c>
    </row>
    <row r="230" spans="1:8">
      <c r="A230" s="31" t="s">
        <v>3385</v>
      </c>
      <c r="B230">
        <v>74</v>
      </c>
      <c r="C230">
        <v>1784</v>
      </c>
      <c r="D230" t="s">
        <v>2801</v>
      </c>
      <c r="E230" t="s">
        <v>3369</v>
      </c>
      <c r="G230" t="s">
        <v>3529</v>
      </c>
      <c r="H230">
        <v>1850</v>
      </c>
    </row>
    <row r="231" spans="1:8">
      <c r="A231" s="31" t="s">
        <v>3386</v>
      </c>
      <c r="B231">
        <v>49</v>
      </c>
      <c r="C231">
        <v>1809</v>
      </c>
      <c r="D231" t="s">
        <v>2805</v>
      </c>
      <c r="E231" t="s">
        <v>3369</v>
      </c>
      <c r="G231" t="s">
        <v>3531</v>
      </c>
      <c r="H231">
        <v>1850</v>
      </c>
    </row>
    <row r="232" spans="1:8">
      <c r="A232" s="31" t="s">
        <v>2806</v>
      </c>
      <c r="B232">
        <v>46</v>
      </c>
      <c r="C232">
        <v>1812</v>
      </c>
      <c r="D232" t="s">
        <v>2808</v>
      </c>
      <c r="E232" t="s">
        <v>3387</v>
      </c>
      <c r="H232">
        <v>1850</v>
      </c>
    </row>
    <row r="233" spans="1:8">
      <c r="A233" s="31" t="s">
        <v>2809</v>
      </c>
      <c r="B233">
        <v>44</v>
      </c>
      <c r="C233">
        <v>1814</v>
      </c>
      <c r="D233" t="s">
        <v>2812</v>
      </c>
      <c r="E233" t="s">
        <v>3387</v>
      </c>
      <c r="H233">
        <v>1850</v>
      </c>
    </row>
    <row r="234" spans="1:8">
      <c r="A234" s="31" t="s">
        <v>3388</v>
      </c>
      <c r="B234">
        <v>9</v>
      </c>
      <c r="C234">
        <v>1849</v>
      </c>
      <c r="D234" t="s">
        <v>2816</v>
      </c>
      <c r="E234" t="s">
        <v>3387</v>
      </c>
      <c r="G234" t="s">
        <v>3528</v>
      </c>
      <c r="H234">
        <v>1850</v>
      </c>
    </row>
    <row r="235" spans="1:8">
      <c r="A235" s="31" t="s">
        <v>2817</v>
      </c>
      <c r="B235">
        <v>37</v>
      </c>
      <c r="C235">
        <v>1821</v>
      </c>
      <c r="D235" t="s">
        <v>2820</v>
      </c>
      <c r="E235" t="s">
        <v>3389</v>
      </c>
      <c r="H235">
        <v>1850</v>
      </c>
    </row>
    <row r="236" spans="1:8">
      <c r="A236" s="31" t="s">
        <v>2821</v>
      </c>
      <c r="B236">
        <v>41</v>
      </c>
      <c r="C236">
        <v>1817</v>
      </c>
      <c r="D236" t="s">
        <v>2824</v>
      </c>
      <c r="E236" t="s">
        <v>3390</v>
      </c>
      <c r="H236">
        <v>1850</v>
      </c>
    </row>
    <row r="237" spans="1:8">
      <c r="A237" s="31" t="s">
        <v>2827</v>
      </c>
      <c r="B237">
        <v>58</v>
      </c>
      <c r="C237">
        <v>1800</v>
      </c>
      <c r="D237" t="s">
        <v>2830</v>
      </c>
      <c r="E237" t="s">
        <v>3391</v>
      </c>
      <c r="H237">
        <v>1850</v>
      </c>
    </row>
    <row r="238" spans="1:8">
      <c r="A238" s="31" t="s">
        <v>2831</v>
      </c>
      <c r="B238">
        <v>44</v>
      </c>
      <c r="C238">
        <v>1814</v>
      </c>
      <c r="D238" t="s">
        <v>2834</v>
      </c>
      <c r="E238" t="s">
        <v>3390</v>
      </c>
      <c r="H238">
        <v>1850</v>
      </c>
    </row>
    <row r="239" spans="1:8">
      <c r="A239" s="31" t="s">
        <v>3392</v>
      </c>
      <c r="B239">
        <v>64</v>
      </c>
      <c r="C239">
        <v>1794</v>
      </c>
      <c r="D239" t="s">
        <v>2838</v>
      </c>
      <c r="E239" t="s">
        <v>3169</v>
      </c>
      <c r="H239">
        <v>1850</v>
      </c>
    </row>
    <row r="240" spans="1:8">
      <c r="A240" s="31" t="s">
        <v>3393</v>
      </c>
      <c r="B240" t="e">
        <v>#VALUE!</v>
      </c>
      <c r="C240" t="e">
        <v>#VALUE!</v>
      </c>
      <c r="D240" t="s">
        <v>2842</v>
      </c>
      <c r="E240" t="s">
        <v>3394</v>
      </c>
      <c r="G240" t="s">
        <v>3534</v>
      </c>
      <c r="H240">
        <v>1850</v>
      </c>
    </row>
    <row r="241" spans="1:8">
      <c r="A241" s="31" t="s">
        <v>2843</v>
      </c>
      <c r="B241">
        <v>77</v>
      </c>
      <c r="C241">
        <v>1781</v>
      </c>
      <c r="D241" t="s">
        <v>2846</v>
      </c>
      <c r="E241" t="s">
        <v>3395</v>
      </c>
      <c r="H241">
        <v>1850</v>
      </c>
    </row>
    <row r="242" spans="1:8">
      <c r="A242" s="31" t="s">
        <v>2847</v>
      </c>
      <c r="B242">
        <v>39</v>
      </c>
      <c r="C242">
        <v>1819</v>
      </c>
      <c r="D242" t="s">
        <v>2849</v>
      </c>
      <c r="E242" t="s">
        <v>3395</v>
      </c>
      <c r="H242">
        <v>1850</v>
      </c>
    </row>
    <row r="243" spans="1:8">
      <c r="A243" s="31" t="s">
        <v>3396</v>
      </c>
      <c r="B243">
        <v>63</v>
      </c>
      <c r="C243">
        <v>1795</v>
      </c>
      <c r="D243" t="s">
        <v>2856</v>
      </c>
      <c r="E243" t="s">
        <v>3397</v>
      </c>
      <c r="H243">
        <v>1850</v>
      </c>
    </row>
    <row r="244" spans="1:8">
      <c r="A244" s="31" t="s">
        <v>2857</v>
      </c>
      <c r="B244">
        <v>59</v>
      </c>
      <c r="C244">
        <v>1799</v>
      </c>
      <c r="D244" t="s">
        <v>2859</v>
      </c>
      <c r="E244" t="s">
        <v>3397</v>
      </c>
      <c r="H244">
        <v>1850</v>
      </c>
    </row>
    <row r="245" spans="1:8">
      <c r="A245" s="31" t="s">
        <v>2860</v>
      </c>
      <c r="B245">
        <v>41</v>
      </c>
      <c r="C245">
        <v>1817</v>
      </c>
      <c r="D245" t="s">
        <v>3398</v>
      </c>
      <c r="E245" t="s">
        <v>3399</v>
      </c>
      <c r="H245">
        <v>1850</v>
      </c>
    </row>
    <row r="246" spans="1:8">
      <c r="A246" s="31" t="s">
        <v>3400</v>
      </c>
      <c r="B246">
        <v>71</v>
      </c>
      <c r="C246">
        <v>1787</v>
      </c>
      <c r="D246" t="s">
        <v>2867</v>
      </c>
      <c r="E246" t="s">
        <v>3376</v>
      </c>
      <c r="H246">
        <v>1850</v>
      </c>
    </row>
    <row r="247" spans="1:8">
      <c r="A247" s="31" t="s">
        <v>3401</v>
      </c>
      <c r="B247">
        <v>75</v>
      </c>
      <c r="C247">
        <v>1783</v>
      </c>
      <c r="D247" t="s">
        <v>3402</v>
      </c>
      <c r="E247" t="s">
        <v>3376</v>
      </c>
      <c r="G247" t="s">
        <v>3535</v>
      </c>
      <c r="H247">
        <v>1850</v>
      </c>
    </row>
    <row r="248" spans="1:8">
      <c r="A248" s="31" t="s">
        <v>3403</v>
      </c>
      <c r="B248">
        <v>44</v>
      </c>
      <c r="C248">
        <v>1814</v>
      </c>
      <c r="D248" t="s">
        <v>2870</v>
      </c>
      <c r="E248" t="s">
        <v>3404</v>
      </c>
      <c r="H248">
        <v>1850</v>
      </c>
    </row>
    <row r="249" spans="1:8">
      <c r="A249" s="31" t="s">
        <v>2871</v>
      </c>
      <c r="B249">
        <v>42</v>
      </c>
      <c r="C249">
        <v>1816</v>
      </c>
      <c r="D249" t="s">
        <v>2874</v>
      </c>
      <c r="E249" t="s">
        <v>3405</v>
      </c>
      <c r="H249">
        <v>1850</v>
      </c>
    </row>
    <row r="250" spans="1:8">
      <c r="A250" s="31" t="s">
        <v>2875</v>
      </c>
      <c r="B250">
        <v>41</v>
      </c>
      <c r="C250">
        <v>1817</v>
      </c>
      <c r="D250" t="s">
        <v>2877</v>
      </c>
      <c r="E250" t="s">
        <v>3405</v>
      </c>
      <c r="H250">
        <v>1850</v>
      </c>
    </row>
    <row r="251" spans="1:8">
      <c r="A251" s="31" t="s">
        <v>3406</v>
      </c>
      <c r="B251">
        <v>65</v>
      </c>
      <c r="C251">
        <v>1793</v>
      </c>
      <c r="D251" t="s">
        <v>2880</v>
      </c>
      <c r="E251" t="s">
        <v>3405</v>
      </c>
      <c r="G251" t="s">
        <v>3532</v>
      </c>
      <c r="H251">
        <v>1850</v>
      </c>
    </row>
    <row r="252" spans="1:8">
      <c r="A252" s="31" t="s">
        <v>3407</v>
      </c>
      <c r="B252">
        <v>21</v>
      </c>
      <c r="C252">
        <v>1837</v>
      </c>
      <c r="D252" t="s">
        <v>2883</v>
      </c>
      <c r="E252" t="s">
        <v>3369</v>
      </c>
      <c r="H252">
        <v>1850</v>
      </c>
    </row>
    <row r="253" spans="1:8">
      <c r="A253" s="31" t="s">
        <v>3408</v>
      </c>
      <c r="B253">
        <v>53</v>
      </c>
      <c r="C253">
        <v>1805</v>
      </c>
      <c r="D253" t="s">
        <v>2731</v>
      </c>
      <c r="E253" t="s">
        <v>3369</v>
      </c>
      <c r="G253" t="s">
        <v>3531</v>
      </c>
      <c r="H253">
        <v>1850</v>
      </c>
    </row>
    <row r="254" spans="1:8">
      <c r="A254" s="31" t="s">
        <v>3409</v>
      </c>
      <c r="B254">
        <v>47</v>
      </c>
      <c r="C254">
        <v>1811</v>
      </c>
      <c r="D254" t="s">
        <v>2886</v>
      </c>
      <c r="E254" t="s">
        <v>3376</v>
      </c>
      <c r="H254">
        <v>1850</v>
      </c>
    </row>
    <row r="255" spans="1:8">
      <c r="A255" s="31" t="s">
        <v>2887</v>
      </c>
      <c r="B255">
        <v>42</v>
      </c>
      <c r="C255">
        <v>1816</v>
      </c>
      <c r="D255" t="s">
        <v>2890</v>
      </c>
      <c r="E255" t="s">
        <v>3376</v>
      </c>
      <c r="H255">
        <v>1850</v>
      </c>
    </row>
    <row r="256" spans="1:8">
      <c r="A256" s="31" t="s">
        <v>3410</v>
      </c>
      <c r="B256">
        <v>68</v>
      </c>
      <c r="C256">
        <v>1790</v>
      </c>
      <c r="D256" t="s">
        <v>3411</v>
      </c>
      <c r="E256" t="s">
        <v>3412</v>
      </c>
      <c r="G256" t="s">
        <v>3536</v>
      </c>
      <c r="H256">
        <v>1850</v>
      </c>
    </row>
    <row r="257" spans="1:8">
      <c r="A257" s="31" t="s">
        <v>3413</v>
      </c>
      <c r="B257">
        <v>60</v>
      </c>
      <c r="C257">
        <v>1798</v>
      </c>
      <c r="D257" t="s">
        <v>3414</v>
      </c>
      <c r="E257" t="s">
        <v>3412</v>
      </c>
      <c r="G257" t="s">
        <v>3528</v>
      </c>
      <c r="H257">
        <v>1850</v>
      </c>
    </row>
    <row r="258" spans="1:8">
      <c r="A258" s="31" t="s">
        <v>2891</v>
      </c>
      <c r="B258">
        <v>59</v>
      </c>
      <c r="C258">
        <v>1799</v>
      </c>
      <c r="D258" t="s">
        <v>2894</v>
      </c>
      <c r="E258" t="s">
        <v>3415</v>
      </c>
      <c r="H258">
        <v>1850</v>
      </c>
    </row>
    <row r="259" spans="1:8">
      <c r="A259" s="31" t="s">
        <v>2895</v>
      </c>
      <c r="B259">
        <v>52</v>
      </c>
      <c r="C259">
        <v>1806</v>
      </c>
      <c r="D259" t="s">
        <v>2898</v>
      </c>
      <c r="E259" t="s">
        <v>3416</v>
      </c>
      <c r="H259">
        <v>1850</v>
      </c>
    </row>
    <row r="260" spans="1:8">
      <c r="A260" s="31" t="s">
        <v>3417</v>
      </c>
      <c r="B260">
        <v>48</v>
      </c>
      <c r="C260">
        <v>1810</v>
      </c>
      <c r="D260" t="s">
        <v>2901</v>
      </c>
      <c r="E260" t="s">
        <v>3416</v>
      </c>
      <c r="G260" t="s">
        <v>3537</v>
      </c>
      <c r="H260">
        <v>1850</v>
      </c>
    </row>
    <row r="261" spans="1:8">
      <c r="A261" s="31" t="s">
        <v>2902</v>
      </c>
      <c r="B261">
        <v>62</v>
      </c>
      <c r="C261">
        <v>1796</v>
      </c>
      <c r="D261" t="s">
        <v>2905</v>
      </c>
      <c r="E261" t="s">
        <v>3416</v>
      </c>
      <c r="H261">
        <v>1850</v>
      </c>
    </row>
    <row r="262" spans="1:8">
      <c r="A262" s="31" t="s">
        <v>3418</v>
      </c>
      <c r="B262">
        <v>51</v>
      </c>
      <c r="C262">
        <v>1807</v>
      </c>
      <c r="D262" t="s">
        <v>2908</v>
      </c>
      <c r="E262" t="s">
        <v>3416</v>
      </c>
      <c r="G262" t="s">
        <v>3537</v>
      </c>
      <c r="H262">
        <v>1850</v>
      </c>
    </row>
    <row r="263" spans="1:8">
      <c r="A263" s="31" t="s">
        <v>2909</v>
      </c>
      <c r="B263">
        <v>34</v>
      </c>
      <c r="C263">
        <v>1824</v>
      </c>
      <c r="D263" t="s">
        <v>2911</v>
      </c>
      <c r="E263" t="s">
        <v>3390</v>
      </c>
      <c r="H263">
        <v>1850</v>
      </c>
    </row>
    <row r="264" spans="1:8">
      <c r="A264" s="31" t="s">
        <v>3419</v>
      </c>
      <c r="B264" t="e">
        <v>#VALUE!</v>
      </c>
      <c r="C264" t="e">
        <v>#VALUE!</v>
      </c>
      <c r="D264" t="s">
        <v>3420</v>
      </c>
      <c r="E264" t="s">
        <v>3394</v>
      </c>
      <c r="G264" t="s">
        <v>3538</v>
      </c>
      <c r="H264">
        <v>1850</v>
      </c>
    </row>
    <row r="265" spans="1:8">
      <c r="A265" s="31" t="s">
        <v>3421</v>
      </c>
      <c r="B265">
        <v>60</v>
      </c>
      <c r="C265">
        <v>1798</v>
      </c>
      <c r="D265" t="s">
        <v>2916</v>
      </c>
      <c r="E265" t="s">
        <v>3376</v>
      </c>
      <c r="G265" t="s">
        <v>3536</v>
      </c>
      <c r="H265">
        <v>1850</v>
      </c>
    </row>
    <row r="266" spans="1:8">
      <c r="A266" s="31" t="s">
        <v>2917</v>
      </c>
      <c r="B266">
        <v>37</v>
      </c>
      <c r="C266">
        <v>1821</v>
      </c>
      <c r="D266" t="s">
        <v>2919</v>
      </c>
      <c r="E266" t="s">
        <v>3404</v>
      </c>
      <c r="H266">
        <v>1850</v>
      </c>
    </row>
    <row r="267" spans="1:8">
      <c r="A267" s="31" t="s">
        <v>2920</v>
      </c>
      <c r="B267">
        <v>45</v>
      </c>
      <c r="C267">
        <v>1813</v>
      </c>
      <c r="D267" t="s">
        <v>2923</v>
      </c>
      <c r="E267" t="s">
        <v>3422</v>
      </c>
      <c r="H267">
        <v>1850</v>
      </c>
    </row>
    <row r="268" spans="1:8">
      <c r="A268" s="31" t="s">
        <v>3423</v>
      </c>
      <c r="B268">
        <v>75</v>
      </c>
      <c r="C268">
        <v>1783</v>
      </c>
      <c r="D268" t="s">
        <v>2927</v>
      </c>
      <c r="E268" t="s">
        <v>3405</v>
      </c>
      <c r="G268" t="s">
        <v>3539</v>
      </c>
      <c r="H268">
        <v>1850</v>
      </c>
    </row>
    <row r="269" spans="1:8">
      <c r="A269" s="31" t="s">
        <v>3424</v>
      </c>
      <c r="B269">
        <v>51</v>
      </c>
      <c r="C269">
        <v>1807</v>
      </c>
      <c r="D269" t="s">
        <v>3425</v>
      </c>
      <c r="E269" t="s">
        <v>3206</v>
      </c>
      <c r="H269">
        <v>1850</v>
      </c>
    </row>
    <row r="270" spans="1:8">
      <c r="A270" s="31" t="s">
        <v>2928</v>
      </c>
      <c r="B270">
        <v>64</v>
      </c>
      <c r="C270">
        <v>1794</v>
      </c>
      <c r="D270" t="s">
        <v>2931</v>
      </c>
      <c r="E270" t="s">
        <v>3426</v>
      </c>
      <c r="H270">
        <v>1850</v>
      </c>
    </row>
    <row r="271" spans="1:8">
      <c r="A271" s="31" t="s">
        <v>2932</v>
      </c>
      <c r="B271">
        <v>65</v>
      </c>
      <c r="C271">
        <v>1793</v>
      </c>
      <c r="D271" t="s">
        <v>2934</v>
      </c>
      <c r="E271" t="s">
        <v>3412</v>
      </c>
      <c r="H271">
        <v>1850</v>
      </c>
    </row>
    <row r="272" spans="1:8">
      <c r="A272" s="31" t="s">
        <v>3427</v>
      </c>
      <c r="B272">
        <v>50</v>
      </c>
      <c r="C272">
        <v>1808</v>
      </c>
      <c r="D272" t="s">
        <v>2938</v>
      </c>
      <c r="E272" t="s">
        <v>3415</v>
      </c>
      <c r="G272" t="s">
        <v>3535</v>
      </c>
      <c r="H272">
        <v>1850</v>
      </c>
    </row>
    <row r="273" spans="1:8">
      <c r="A273" s="31" t="s">
        <v>3428</v>
      </c>
      <c r="B273">
        <v>64</v>
      </c>
      <c r="C273">
        <v>1794</v>
      </c>
      <c r="D273" t="s">
        <v>2942</v>
      </c>
      <c r="E273" t="s">
        <v>3415</v>
      </c>
      <c r="G273" t="s">
        <v>3540</v>
      </c>
      <c r="H273">
        <v>1850</v>
      </c>
    </row>
    <row r="274" spans="1:8">
      <c r="A274" s="31" t="s">
        <v>2946</v>
      </c>
      <c r="B274">
        <v>62</v>
      </c>
      <c r="C274">
        <v>1796</v>
      </c>
      <c r="D274" t="s">
        <v>2948</v>
      </c>
      <c r="E274" t="s">
        <v>3377</v>
      </c>
      <c r="H274">
        <v>1850</v>
      </c>
    </row>
    <row r="275" spans="1:8">
      <c r="A275" s="31" t="s">
        <v>2949</v>
      </c>
      <c r="B275">
        <v>63</v>
      </c>
      <c r="C275">
        <v>1795</v>
      </c>
      <c r="D275" t="s">
        <v>2952</v>
      </c>
      <c r="E275" t="s">
        <v>3397</v>
      </c>
      <c r="H275">
        <v>1850</v>
      </c>
    </row>
    <row r="276" spans="1:8">
      <c r="A276" s="31" t="s">
        <v>3429</v>
      </c>
      <c r="B276">
        <v>65</v>
      </c>
      <c r="C276">
        <v>1793</v>
      </c>
      <c r="D276" t="s">
        <v>3430</v>
      </c>
      <c r="E276" t="s">
        <v>3397</v>
      </c>
      <c r="G276" t="s">
        <v>3541</v>
      </c>
      <c r="H276">
        <v>1850</v>
      </c>
    </row>
    <row r="277" spans="1:8">
      <c r="A277" s="31" t="s">
        <v>2953</v>
      </c>
      <c r="B277">
        <v>52</v>
      </c>
      <c r="C277">
        <v>1806</v>
      </c>
      <c r="D277" t="s">
        <v>2956</v>
      </c>
      <c r="E277" t="s">
        <v>3169</v>
      </c>
      <c r="H277">
        <v>1850</v>
      </c>
    </row>
    <row r="278" spans="1:8">
      <c r="A278" s="31" t="s">
        <v>3431</v>
      </c>
      <c r="B278">
        <v>55</v>
      </c>
      <c r="C278">
        <v>1803</v>
      </c>
      <c r="D278" t="s">
        <v>3432</v>
      </c>
      <c r="E278" t="s">
        <v>3433</v>
      </c>
      <c r="G278" t="s">
        <v>3528</v>
      </c>
      <c r="H278">
        <v>1850</v>
      </c>
    </row>
    <row r="279" spans="1:8">
      <c r="A279" s="31" t="s">
        <v>3434</v>
      </c>
      <c r="B279">
        <v>52</v>
      </c>
      <c r="C279">
        <v>1806</v>
      </c>
      <c r="D279" t="s">
        <v>2945</v>
      </c>
      <c r="E279" t="s">
        <v>3371</v>
      </c>
      <c r="G279" t="s">
        <v>3542</v>
      </c>
      <c r="H279">
        <v>1850</v>
      </c>
    </row>
    <row r="280" spans="1:8">
      <c r="A280" s="31" t="s">
        <v>2957</v>
      </c>
      <c r="B280">
        <v>62</v>
      </c>
      <c r="C280">
        <v>1796</v>
      </c>
      <c r="D280" t="s">
        <v>2959</v>
      </c>
      <c r="E280" t="s">
        <v>3394</v>
      </c>
      <c r="H280">
        <v>1850</v>
      </c>
    </row>
    <row r="281" spans="1:8">
      <c r="A281" s="31" t="s">
        <v>2960</v>
      </c>
      <c r="B281">
        <v>66</v>
      </c>
      <c r="C281">
        <v>1792</v>
      </c>
      <c r="D281" t="s">
        <v>2962</v>
      </c>
      <c r="E281" t="s">
        <v>3404</v>
      </c>
      <c r="H281">
        <v>1850</v>
      </c>
    </row>
    <row r="282" spans="1:8">
      <c r="A282" s="31" t="s">
        <v>3435</v>
      </c>
      <c r="B282">
        <v>48</v>
      </c>
      <c r="C282">
        <v>1810</v>
      </c>
      <c r="D282" t="s">
        <v>3436</v>
      </c>
      <c r="E282" t="s">
        <v>3389</v>
      </c>
      <c r="G282" t="s">
        <v>3533</v>
      </c>
      <c r="H282">
        <v>1850</v>
      </c>
    </row>
    <row r="283" spans="1:8">
      <c r="A283" s="31" t="s">
        <v>2963</v>
      </c>
      <c r="B283">
        <v>39</v>
      </c>
      <c r="C283">
        <v>1819</v>
      </c>
      <c r="D283" t="s">
        <v>2966</v>
      </c>
      <c r="E283" t="s">
        <v>3437</v>
      </c>
      <c r="H283">
        <v>1850</v>
      </c>
    </row>
    <row r="284" spans="1:8">
      <c r="A284" s="31" t="s">
        <v>3438</v>
      </c>
      <c r="B284">
        <v>66</v>
      </c>
      <c r="C284">
        <v>1792</v>
      </c>
      <c r="D284" t="s">
        <v>3439</v>
      </c>
      <c r="E284" t="s">
        <v>3412</v>
      </c>
      <c r="G284" t="s">
        <v>3543</v>
      </c>
      <c r="H284">
        <v>1850</v>
      </c>
    </row>
    <row r="285" spans="1:8">
      <c r="A285" s="31" t="s">
        <v>3440</v>
      </c>
      <c r="B285">
        <v>45</v>
      </c>
      <c r="C285">
        <v>1813</v>
      </c>
      <c r="D285" t="s">
        <v>2970</v>
      </c>
      <c r="E285" t="s">
        <v>3412</v>
      </c>
      <c r="G285" t="s">
        <v>3529</v>
      </c>
      <c r="H285">
        <v>1850</v>
      </c>
    </row>
    <row r="286" spans="1:8">
      <c r="A286" s="31" t="s">
        <v>3441</v>
      </c>
      <c r="B286">
        <v>48</v>
      </c>
      <c r="C286">
        <v>1810</v>
      </c>
      <c r="D286" t="s">
        <v>3442</v>
      </c>
      <c r="E286" t="s">
        <v>3412</v>
      </c>
      <c r="G286" t="s">
        <v>3536</v>
      </c>
      <c r="H286">
        <v>1850</v>
      </c>
    </row>
    <row r="287" spans="1:8">
      <c r="A287" s="31" t="s">
        <v>3443</v>
      </c>
      <c r="B287">
        <v>46</v>
      </c>
      <c r="C287">
        <v>1812</v>
      </c>
      <c r="D287" t="s">
        <v>3444</v>
      </c>
      <c r="E287" t="s">
        <v>3412</v>
      </c>
      <c r="G287" t="s">
        <v>3543</v>
      </c>
      <c r="H287">
        <v>1850</v>
      </c>
    </row>
    <row r="288" spans="1:8">
      <c r="A288" s="31" t="s">
        <v>3445</v>
      </c>
      <c r="B288">
        <v>62</v>
      </c>
      <c r="C288">
        <v>1796</v>
      </c>
      <c r="D288" t="s">
        <v>2973</v>
      </c>
      <c r="E288" t="s">
        <v>3412</v>
      </c>
      <c r="G288" t="s">
        <v>3539</v>
      </c>
      <c r="H288">
        <v>1850</v>
      </c>
    </row>
    <row r="289" spans="1:8">
      <c r="A289" s="31" t="s">
        <v>3446</v>
      </c>
      <c r="B289">
        <v>57</v>
      </c>
      <c r="C289">
        <v>1801</v>
      </c>
      <c r="D289" t="s">
        <v>2979</v>
      </c>
      <c r="E289" t="s">
        <v>3447</v>
      </c>
      <c r="G289" t="s">
        <v>3541</v>
      </c>
      <c r="H289">
        <v>1850</v>
      </c>
    </row>
    <row r="290" spans="1:8">
      <c r="A290" s="31" t="s">
        <v>2599</v>
      </c>
      <c r="B290">
        <v>64</v>
      </c>
      <c r="C290">
        <v>1794</v>
      </c>
      <c r="D290" t="s">
        <v>2982</v>
      </c>
      <c r="E290" t="s">
        <v>3447</v>
      </c>
      <c r="H290">
        <v>1850</v>
      </c>
    </row>
    <row r="291" spans="1:8">
      <c r="A291" s="31" t="s">
        <v>3448</v>
      </c>
      <c r="B291">
        <v>44</v>
      </c>
      <c r="C291">
        <v>1814</v>
      </c>
      <c r="D291" t="s">
        <v>2986</v>
      </c>
      <c r="E291" t="s">
        <v>3447</v>
      </c>
      <c r="G291" t="s">
        <v>3531</v>
      </c>
      <c r="H291">
        <v>1850</v>
      </c>
    </row>
    <row r="292" spans="1:8">
      <c r="A292" s="31" t="s">
        <v>2987</v>
      </c>
      <c r="B292">
        <v>57</v>
      </c>
      <c r="C292">
        <v>1801</v>
      </c>
      <c r="D292" t="s">
        <v>2989</v>
      </c>
      <c r="E292" t="s">
        <v>3449</v>
      </c>
      <c r="H292">
        <v>1850</v>
      </c>
    </row>
    <row r="293" spans="1:8">
      <c r="A293" s="31" t="s">
        <v>3450</v>
      </c>
      <c r="B293">
        <v>59</v>
      </c>
      <c r="C293">
        <v>1799</v>
      </c>
      <c r="D293" t="s">
        <v>2992</v>
      </c>
      <c r="E293" t="s">
        <v>3449</v>
      </c>
      <c r="G293" t="s">
        <v>3528</v>
      </c>
      <c r="H293">
        <v>1850</v>
      </c>
    </row>
    <row r="294" spans="1:8">
      <c r="A294" s="31" t="s">
        <v>2993</v>
      </c>
      <c r="B294">
        <v>33</v>
      </c>
      <c r="C294">
        <v>1825</v>
      </c>
      <c r="D294" t="s">
        <v>2996</v>
      </c>
      <c r="E294" t="s">
        <v>3449</v>
      </c>
      <c r="H294">
        <v>1850</v>
      </c>
    </row>
    <row r="295" spans="1:8">
      <c r="A295" s="31" t="s">
        <v>2997</v>
      </c>
      <c r="B295">
        <v>40</v>
      </c>
      <c r="C295">
        <v>1818</v>
      </c>
      <c r="D295" t="s">
        <v>2999</v>
      </c>
      <c r="E295" t="s">
        <v>3390</v>
      </c>
      <c r="H295">
        <v>1850</v>
      </c>
    </row>
    <row r="296" spans="1:8">
      <c r="A296" s="31" t="s">
        <v>3451</v>
      </c>
      <c r="B296">
        <v>44</v>
      </c>
      <c r="C296">
        <v>1814</v>
      </c>
      <c r="D296" t="s">
        <v>3003</v>
      </c>
      <c r="E296" t="s">
        <v>3452</v>
      </c>
      <c r="G296" t="s">
        <v>3536</v>
      </c>
      <c r="H296">
        <v>1850</v>
      </c>
    </row>
    <row r="297" spans="1:8">
      <c r="A297" s="31" t="s">
        <v>3004</v>
      </c>
      <c r="B297">
        <v>82</v>
      </c>
      <c r="C297">
        <v>1776</v>
      </c>
      <c r="D297" t="s">
        <v>3007</v>
      </c>
      <c r="E297" t="s">
        <v>3452</v>
      </c>
      <c r="H297">
        <v>1850</v>
      </c>
    </row>
    <row r="298" spans="1:8">
      <c r="A298" s="31" t="s">
        <v>3008</v>
      </c>
      <c r="B298">
        <v>48</v>
      </c>
      <c r="C298">
        <v>1810</v>
      </c>
      <c r="D298" t="s">
        <v>3010</v>
      </c>
      <c r="E298" t="s">
        <v>3389</v>
      </c>
      <c r="H298">
        <v>1850</v>
      </c>
    </row>
    <row r="299" spans="1:8">
      <c r="A299" s="31" t="s">
        <v>3011</v>
      </c>
      <c r="B299">
        <v>68</v>
      </c>
      <c r="C299">
        <v>1790</v>
      </c>
      <c r="D299" t="s">
        <v>3014</v>
      </c>
      <c r="E299" t="s">
        <v>3380</v>
      </c>
      <c r="H299">
        <v>1850</v>
      </c>
    </row>
    <row r="300" spans="1:8">
      <c r="A300" s="31" t="s">
        <v>3018</v>
      </c>
      <c r="B300">
        <v>73</v>
      </c>
      <c r="C300">
        <v>1785</v>
      </c>
      <c r="D300" t="s">
        <v>3021</v>
      </c>
      <c r="E300" t="s">
        <v>3399</v>
      </c>
      <c r="H300">
        <v>1850</v>
      </c>
    </row>
    <row r="301" spans="1:8">
      <c r="A301" s="31" t="s">
        <v>3453</v>
      </c>
      <c r="B301">
        <v>60</v>
      </c>
      <c r="C301">
        <v>1798</v>
      </c>
      <c r="D301" t="s">
        <v>3024</v>
      </c>
      <c r="E301" t="s">
        <v>3389</v>
      </c>
      <c r="G301" t="s">
        <v>3528</v>
      </c>
      <c r="H301">
        <v>1850</v>
      </c>
    </row>
    <row r="302" spans="1:8">
      <c r="A302" s="31" t="s">
        <v>4964</v>
      </c>
      <c r="B302">
        <v>42</v>
      </c>
      <c r="C302">
        <v>1816</v>
      </c>
      <c r="D302" t="s">
        <v>3027</v>
      </c>
      <c r="E302" t="s">
        <v>3437</v>
      </c>
      <c r="H302">
        <v>1850</v>
      </c>
    </row>
    <row r="303" spans="1:8">
      <c r="A303" s="31" t="s">
        <v>4965</v>
      </c>
      <c r="B303">
        <v>69</v>
      </c>
      <c r="C303">
        <v>1789</v>
      </c>
      <c r="D303" t="s">
        <v>3030</v>
      </c>
      <c r="E303" t="s">
        <v>3437</v>
      </c>
      <c r="H303">
        <v>1850</v>
      </c>
    </row>
    <row r="304" spans="1:8">
      <c r="A304" s="31" t="s">
        <v>4972</v>
      </c>
      <c r="B304">
        <v>64</v>
      </c>
      <c r="C304">
        <v>1794</v>
      </c>
      <c r="D304" t="s">
        <v>3033</v>
      </c>
      <c r="E304" t="s">
        <v>3454</v>
      </c>
      <c r="G304" t="s">
        <v>3531</v>
      </c>
      <c r="H304">
        <v>1850</v>
      </c>
    </row>
    <row r="305" spans="1:8">
      <c r="A305" s="31" t="s">
        <v>4973</v>
      </c>
      <c r="B305">
        <v>60</v>
      </c>
      <c r="C305">
        <v>1798</v>
      </c>
      <c r="D305" t="s">
        <v>3036</v>
      </c>
      <c r="E305" t="s">
        <v>3454</v>
      </c>
      <c r="G305" t="s">
        <v>3536</v>
      </c>
      <c r="H305">
        <v>1850</v>
      </c>
    </row>
    <row r="306" spans="1:8">
      <c r="A306" s="31" t="s">
        <v>4967</v>
      </c>
      <c r="B306">
        <v>41</v>
      </c>
      <c r="C306">
        <v>1817</v>
      </c>
      <c r="D306" t="s">
        <v>3038</v>
      </c>
      <c r="E306" t="s">
        <v>3454</v>
      </c>
      <c r="H306">
        <v>1850</v>
      </c>
    </row>
    <row r="307" spans="1:8">
      <c r="A307" s="31" t="s">
        <v>4968</v>
      </c>
      <c r="B307">
        <v>44</v>
      </c>
      <c r="C307">
        <v>1814</v>
      </c>
      <c r="D307" t="s">
        <v>3041</v>
      </c>
      <c r="E307" t="s">
        <v>3455</v>
      </c>
      <c r="H307">
        <v>1850</v>
      </c>
    </row>
    <row r="308" spans="1:8">
      <c r="A308" s="31" t="s">
        <v>4969</v>
      </c>
      <c r="B308">
        <v>46</v>
      </c>
      <c r="C308">
        <v>1812</v>
      </c>
      <c r="D308" t="s">
        <v>3044</v>
      </c>
      <c r="E308" t="s">
        <v>3456</v>
      </c>
      <c r="H308">
        <v>1850</v>
      </c>
    </row>
    <row r="309" spans="1:8">
      <c r="A309" s="31" t="s">
        <v>4970</v>
      </c>
      <c r="B309">
        <v>49</v>
      </c>
      <c r="C309">
        <v>1809</v>
      </c>
      <c r="D309" t="s">
        <v>3046</v>
      </c>
      <c r="E309" t="s">
        <v>3169</v>
      </c>
      <c r="H309">
        <v>1850</v>
      </c>
    </row>
    <row r="310" spans="1:8">
      <c r="A310" s="31" t="s">
        <v>4971</v>
      </c>
      <c r="B310">
        <v>55</v>
      </c>
      <c r="C310">
        <v>1803</v>
      </c>
      <c r="D310" t="s">
        <v>3048</v>
      </c>
      <c r="E310" t="s">
        <v>3380</v>
      </c>
      <c r="H310">
        <v>1850</v>
      </c>
    </row>
    <row r="311" spans="1:8">
      <c r="A311" s="31" t="s">
        <v>3457</v>
      </c>
      <c r="B311">
        <v>25</v>
      </c>
      <c r="C311">
        <v>1833</v>
      </c>
      <c r="D311" t="s">
        <v>3458</v>
      </c>
      <c r="E311" t="s">
        <v>3390</v>
      </c>
      <c r="H311">
        <v>1850</v>
      </c>
    </row>
    <row r="312" spans="1:8">
      <c r="A312" s="31" t="s">
        <v>3459</v>
      </c>
      <c r="B312">
        <v>59</v>
      </c>
      <c r="C312">
        <v>1799</v>
      </c>
      <c r="D312" t="s">
        <v>3054</v>
      </c>
      <c r="E312" t="s">
        <v>3390</v>
      </c>
      <c r="H312">
        <v>1850</v>
      </c>
    </row>
    <row r="313" spans="1:8">
      <c r="A313" s="31" t="s">
        <v>3460</v>
      </c>
      <c r="B313">
        <v>59</v>
      </c>
      <c r="C313">
        <v>1799</v>
      </c>
      <c r="D313" t="s">
        <v>3461</v>
      </c>
      <c r="E313" t="s">
        <v>3397</v>
      </c>
      <c r="H313">
        <v>1850</v>
      </c>
    </row>
    <row r="314" spans="1:8">
      <c r="A314" s="31" t="s">
        <v>3057</v>
      </c>
      <c r="B314">
        <v>49</v>
      </c>
      <c r="C314">
        <v>1809</v>
      </c>
      <c r="D314" t="s">
        <v>3059</v>
      </c>
      <c r="E314" t="s">
        <v>3397</v>
      </c>
      <c r="H314">
        <v>1850</v>
      </c>
    </row>
    <row r="315" spans="1:8">
      <c r="A315" s="31" t="s">
        <v>3462</v>
      </c>
      <c r="B315">
        <v>55</v>
      </c>
      <c r="C315">
        <v>1803</v>
      </c>
      <c r="D315" t="s">
        <v>3063</v>
      </c>
      <c r="E315" t="s">
        <v>3463</v>
      </c>
      <c r="G315" t="s">
        <v>3537</v>
      </c>
      <c r="H315">
        <v>1850</v>
      </c>
    </row>
    <row r="316" spans="1:8">
      <c r="A316" s="31" t="s">
        <v>3464</v>
      </c>
      <c r="B316">
        <v>59</v>
      </c>
      <c r="C316">
        <v>1799</v>
      </c>
      <c r="D316" t="s">
        <v>3067</v>
      </c>
      <c r="E316" t="s">
        <v>3463</v>
      </c>
      <c r="G316" t="s">
        <v>3544</v>
      </c>
      <c r="H316">
        <v>1850</v>
      </c>
    </row>
    <row r="317" spans="1:8">
      <c r="A317" s="31" t="s">
        <v>3465</v>
      </c>
      <c r="B317">
        <v>57</v>
      </c>
      <c r="C317">
        <v>1801</v>
      </c>
      <c r="D317" t="s">
        <v>3070</v>
      </c>
      <c r="E317" t="s">
        <v>3463</v>
      </c>
      <c r="H317">
        <v>1850</v>
      </c>
    </row>
    <row r="318" spans="1:8">
      <c r="A318" s="31" t="s">
        <v>3466</v>
      </c>
      <c r="B318">
        <v>63</v>
      </c>
      <c r="C318">
        <v>1795</v>
      </c>
      <c r="D318" t="s">
        <v>3467</v>
      </c>
      <c r="E318" t="s">
        <v>3463</v>
      </c>
      <c r="G318" t="s">
        <v>3545</v>
      </c>
      <c r="H318">
        <v>1850</v>
      </c>
    </row>
    <row r="319" spans="1:8">
      <c r="A319" s="31" t="s">
        <v>3468</v>
      </c>
      <c r="B319">
        <v>49</v>
      </c>
      <c r="C319">
        <v>1809</v>
      </c>
      <c r="D319" t="s">
        <v>3074</v>
      </c>
      <c r="E319" t="s">
        <v>3422</v>
      </c>
      <c r="G319" t="s">
        <v>3540</v>
      </c>
      <c r="H319">
        <v>1850</v>
      </c>
    </row>
    <row r="320" spans="1:8">
      <c r="A320" s="31" t="s">
        <v>3469</v>
      </c>
      <c r="B320">
        <v>70</v>
      </c>
      <c r="C320">
        <v>1788</v>
      </c>
      <c r="D320" t="s">
        <v>3078</v>
      </c>
      <c r="E320" t="s">
        <v>3422</v>
      </c>
      <c r="G320" t="s">
        <v>3279</v>
      </c>
      <c r="H320">
        <v>1850</v>
      </c>
    </row>
    <row r="321" spans="1:8">
      <c r="A321" s="31" t="s">
        <v>3470</v>
      </c>
      <c r="B321">
        <v>32</v>
      </c>
      <c r="C321">
        <v>1826</v>
      </c>
      <c r="D321" t="s">
        <v>3081</v>
      </c>
      <c r="E321" t="s">
        <v>3422</v>
      </c>
      <c r="G321" t="s">
        <v>3535</v>
      </c>
      <c r="H321">
        <v>1850</v>
      </c>
    </row>
    <row r="322" spans="1:8">
      <c r="A322" s="31" t="s">
        <v>3471</v>
      </c>
      <c r="B322">
        <v>68</v>
      </c>
      <c r="C322">
        <v>1790</v>
      </c>
      <c r="D322" t="s">
        <v>3472</v>
      </c>
      <c r="E322" t="s">
        <v>3473</v>
      </c>
      <c r="G322" t="s">
        <v>3535</v>
      </c>
      <c r="H322">
        <v>1850</v>
      </c>
    </row>
    <row r="323" spans="1:8">
      <c r="A323" s="31" t="s">
        <v>3082</v>
      </c>
      <c r="B323">
        <v>70</v>
      </c>
      <c r="C323">
        <v>1788</v>
      </c>
      <c r="D323" t="s">
        <v>3085</v>
      </c>
      <c r="E323" t="s">
        <v>3473</v>
      </c>
      <c r="H323">
        <v>1850</v>
      </c>
    </row>
    <row r="324" spans="1:8">
      <c r="A324" s="31" t="s">
        <v>3086</v>
      </c>
      <c r="B324">
        <v>50</v>
      </c>
      <c r="C324">
        <v>1808</v>
      </c>
      <c r="D324" t="s">
        <v>3088</v>
      </c>
      <c r="E324" t="s">
        <v>3380</v>
      </c>
      <c r="H324">
        <v>1850</v>
      </c>
    </row>
    <row r="325" spans="1:8">
      <c r="A325" s="31" t="s">
        <v>3474</v>
      </c>
      <c r="B325">
        <v>54</v>
      </c>
      <c r="C325">
        <v>1804</v>
      </c>
      <c r="D325" t="s">
        <v>3091</v>
      </c>
      <c r="E325" t="s">
        <v>3376</v>
      </c>
      <c r="G325" t="s">
        <v>3540</v>
      </c>
      <c r="H325">
        <v>1850</v>
      </c>
    </row>
    <row r="326" spans="1:8">
      <c r="A326" s="31" t="s">
        <v>3475</v>
      </c>
      <c r="B326">
        <v>33</v>
      </c>
      <c r="C326">
        <v>1825</v>
      </c>
      <c r="D326" t="s">
        <v>3094</v>
      </c>
      <c r="E326" t="s">
        <v>3399</v>
      </c>
      <c r="G326" t="s">
        <v>3531</v>
      </c>
      <c r="H326">
        <v>1850</v>
      </c>
    </row>
    <row r="327" spans="1:8">
      <c r="A327" s="31" t="s">
        <v>3476</v>
      </c>
      <c r="B327">
        <v>35</v>
      </c>
      <c r="C327">
        <v>1823</v>
      </c>
      <c r="D327" t="s">
        <v>3477</v>
      </c>
      <c r="E327" t="s">
        <v>3404</v>
      </c>
      <c r="H327">
        <v>1850</v>
      </c>
    </row>
    <row r="328" spans="1:8">
      <c r="A328" s="31" t="s">
        <v>3478</v>
      </c>
      <c r="B328">
        <v>56</v>
      </c>
      <c r="C328">
        <v>1802</v>
      </c>
      <c r="D328" t="s">
        <v>3097</v>
      </c>
      <c r="E328" t="s">
        <v>3416</v>
      </c>
      <c r="G328" t="s">
        <v>3544</v>
      </c>
      <c r="H328">
        <v>1850</v>
      </c>
    </row>
    <row r="329" spans="1:8">
      <c r="A329" s="31" t="s">
        <v>3479</v>
      </c>
      <c r="B329">
        <v>45</v>
      </c>
      <c r="C329">
        <v>1813</v>
      </c>
      <c r="D329" t="s">
        <v>3099</v>
      </c>
      <c r="E329" t="s">
        <v>3433</v>
      </c>
      <c r="G329" t="s">
        <v>3539</v>
      </c>
      <c r="H329">
        <v>1850</v>
      </c>
    </row>
    <row r="330" spans="1:8">
      <c r="A330" s="31" t="s">
        <v>3480</v>
      </c>
      <c r="B330">
        <v>44</v>
      </c>
      <c r="C330">
        <v>1814</v>
      </c>
      <c r="D330" t="s">
        <v>3481</v>
      </c>
      <c r="E330" t="s">
        <v>3433</v>
      </c>
      <c r="G330" t="s">
        <v>3536</v>
      </c>
      <c r="H330">
        <v>1850</v>
      </c>
    </row>
    <row r="331" spans="1:8">
      <c r="A331" s="31" t="s">
        <v>3100</v>
      </c>
      <c r="B331">
        <v>30</v>
      </c>
      <c r="C331">
        <v>1828</v>
      </c>
      <c r="D331" t="s">
        <v>3103</v>
      </c>
      <c r="E331" t="s">
        <v>3482</v>
      </c>
      <c r="H331">
        <v>1850</v>
      </c>
    </row>
    <row r="332" spans="1:8">
      <c r="A332" s="31" t="s">
        <v>3104</v>
      </c>
      <c r="B332">
        <v>24</v>
      </c>
      <c r="C332">
        <v>1834</v>
      </c>
      <c r="D332" t="s">
        <v>2863</v>
      </c>
      <c r="E332" t="s">
        <v>3452</v>
      </c>
      <c r="H332">
        <v>1850</v>
      </c>
    </row>
    <row r="333" spans="1:8">
      <c r="A333" s="31" t="s">
        <v>3107</v>
      </c>
      <c r="B333">
        <v>29</v>
      </c>
      <c r="C333">
        <v>1829</v>
      </c>
      <c r="D333" t="s">
        <v>3110</v>
      </c>
      <c r="E333" t="s">
        <v>3452</v>
      </c>
      <c r="H333">
        <v>1850</v>
      </c>
    </row>
    <row r="334" spans="1:8">
      <c r="A334" s="31" t="s">
        <v>3483</v>
      </c>
      <c r="B334">
        <v>52</v>
      </c>
      <c r="C334">
        <v>1806</v>
      </c>
      <c r="D334" t="s">
        <v>3484</v>
      </c>
      <c r="E334" t="s">
        <v>3369</v>
      </c>
      <c r="G334" t="s">
        <v>3532</v>
      </c>
      <c r="H334">
        <v>1850</v>
      </c>
    </row>
    <row r="335" spans="1:8">
      <c r="A335" s="31" t="s">
        <v>3485</v>
      </c>
      <c r="B335">
        <v>60</v>
      </c>
      <c r="C335">
        <v>1798</v>
      </c>
      <c r="D335" t="s">
        <v>3113</v>
      </c>
      <c r="E335" t="s">
        <v>3380</v>
      </c>
      <c r="H335">
        <v>1850</v>
      </c>
    </row>
    <row r="336" spans="1:8">
      <c r="A336" s="31" t="s">
        <v>3486</v>
      </c>
      <c r="B336">
        <v>35</v>
      </c>
      <c r="C336">
        <v>1823</v>
      </c>
      <c r="D336" t="s">
        <v>3117</v>
      </c>
      <c r="E336" t="s">
        <v>3456</v>
      </c>
      <c r="G336" t="s">
        <v>3531</v>
      </c>
      <c r="H336">
        <v>1850</v>
      </c>
    </row>
    <row r="337" spans="1:8">
      <c r="A337" s="31" t="s">
        <v>3120</v>
      </c>
      <c r="B337">
        <v>34</v>
      </c>
      <c r="C337">
        <v>1824</v>
      </c>
      <c r="D337" t="s">
        <v>3122</v>
      </c>
      <c r="E337" t="s">
        <v>3473</v>
      </c>
      <c r="H337">
        <v>1850</v>
      </c>
    </row>
    <row r="338" spans="1:8">
      <c r="A338" s="31" t="s">
        <v>3123</v>
      </c>
      <c r="B338">
        <v>51</v>
      </c>
      <c r="C338">
        <v>1807</v>
      </c>
      <c r="D338" t="s">
        <v>3126</v>
      </c>
      <c r="E338" t="s">
        <v>3473</v>
      </c>
      <c r="H338">
        <v>1850</v>
      </c>
    </row>
    <row r="339" spans="1:8">
      <c r="A339" s="31" t="s">
        <v>3487</v>
      </c>
      <c r="B339">
        <v>48</v>
      </c>
      <c r="C339">
        <v>1810</v>
      </c>
      <c r="D339" t="s">
        <v>3129</v>
      </c>
      <c r="E339" t="s">
        <v>3488</v>
      </c>
      <c r="G339" t="s">
        <v>3535</v>
      </c>
      <c r="H339">
        <v>1850</v>
      </c>
    </row>
    <row r="340" spans="1:8">
      <c r="A340" s="31" t="s">
        <v>3130</v>
      </c>
      <c r="B340">
        <v>45</v>
      </c>
      <c r="C340">
        <v>1813</v>
      </c>
      <c r="D340" t="s">
        <v>3132</v>
      </c>
      <c r="E340" t="s">
        <v>3489</v>
      </c>
      <c r="H340">
        <v>1850</v>
      </c>
    </row>
    <row r="341" spans="1:8">
      <c r="A341" s="31" t="s">
        <v>3490</v>
      </c>
      <c r="B341">
        <v>50</v>
      </c>
      <c r="C341">
        <v>1808</v>
      </c>
      <c r="D341" t="s">
        <v>3136</v>
      </c>
      <c r="E341" t="s">
        <v>3489</v>
      </c>
      <c r="H341">
        <v>1850</v>
      </c>
    </row>
    <row r="342" spans="1:8">
      <c r="A342" s="31" t="s">
        <v>3137</v>
      </c>
      <c r="B342">
        <v>39</v>
      </c>
      <c r="C342">
        <v>1819</v>
      </c>
      <c r="D342" t="s">
        <v>3139</v>
      </c>
      <c r="E342" t="s">
        <v>3489</v>
      </c>
      <c r="H342">
        <v>1850</v>
      </c>
    </row>
    <row r="343" spans="1:8">
      <c r="A343" s="31" t="s">
        <v>3491</v>
      </c>
      <c r="B343">
        <v>54</v>
      </c>
      <c r="C343">
        <v>1804</v>
      </c>
      <c r="D343" t="s">
        <v>3142</v>
      </c>
      <c r="E343" t="s">
        <v>3489</v>
      </c>
      <c r="G343" t="s">
        <v>3530</v>
      </c>
      <c r="H343">
        <v>1850</v>
      </c>
    </row>
    <row r="344" spans="1:8">
      <c r="A344" s="31" t="s">
        <v>3492</v>
      </c>
      <c r="B344">
        <v>51</v>
      </c>
      <c r="C344">
        <v>1807</v>
      </c>
      <c r="D344" t="s">
        <v>3493</v>
      </c>
      <c r="E344" t="s">
        <v>3494</v>
      </c>
      <c r="G344" t="s">
        <v>3533</v>
      </c>
      <c r="H344">
        <v>1850</v>
      </c>
    </row>
    <row r="345" spans="1:8">
      <c r="A345" s="31" t="s">
        <v>3495</v>
      </c>
      <c r="B345">
        <v>67</v>
      </c>
      <c r="C345">
        <v>1791</v>
      </c>
      <c r="D345" t="s">
        <v>3146</v>
      </c>
      <c r="E345" t="s">
        <v>3494</v>
      </c>
      <c r="G345" t="s">
        <v>3540</v>
      </c>
      <c r="H345">
        <v>1850</v>
      </c>
    </row>
    <row r="346" spans="1:8">
      <c r="A346" s="31" t="s">
        <v>3496</v>
      </c>
      <c r="B346">
        <v>69</v>
      </c>
      <c r="C346">
        <v>1789</v>
      </c>
      <c r="D346" t="s">
        <v>3149</v>
      </c>
      <c r="E346" t="s">
        <v>3494</v>
      </c>
      <c r="G346" t="s">
        <v>3533</v>
      </c>
      <c r="H346">
        <v>1850</v>
      </c>
    </row>
    <row r="347" spans="1:8">
      <c r="A347" s="31" t="s">
        <v>3497</v>
      </c>
      <c r="B347">
        <v>61</v>
      </c>
      <c r="C347">
        <v>1797</v>
      </c>
      <c r="D347" t="s">
        <v>3498</v>
      </c>
      <c r="E347" t="s">
        <v>3499</v>
      </c>
      <c r="H347">
        <v>1850</v>
      </c>
    </row>
    <row r="348" spans="1:8">
      <c r="A348" s="31" t="s">
        <v>3500</v>
      </c>
      <c r="B348">
        <v>56</v>
      </c>
      <c r="C348">
        <v>1802</v>
      </c>
      <c r="D348" t="s">
        <v>3153</v>
      </c>
      <c r="E348" t="s">
        <v>3494</v>
      </c>
      <c r="H348">
        <v>1850</v>
      </c>
    </row>
    <row r="349" spans="1:8">
      <c r="A349" s="31" t="s">
        <v>3154</v>
      </c>
      <c r="B349">
        <v>51</v>
      </c>
      <c r="C349">
        <v>1807</v>
      </c>
      <c r="D349" t="s">
        <v>3156</v>
      </c>
      <c r="E349" t="s">
        <v>3501</v>
      </c>
      <c r="H349">
        <v>1850</v>
      </c>
    </row>
    <row r="350" spans="1:8">
      <c r="A350" s="31" t="s">
        <v>3157</v>
      </c>
      <c r="B350">
        <v>47</v>
      </c>
      <c r="C350">
        <v>1811</v>
      </c>
      <c r="D350" t="s">
        <v>3160</v>
      </c>
      <c r="E350" t="s">
        <v>3501</v>
      </c>
      <c r="H350">
        <v>1850</v>
      </c>
    </row>
    <row r="351" spans="1:8">
      <c r="A351" s="31" t="s">
        <v>3161</v>
      </c>
      <c r="B351">
        <v>60</v>
      </c>
      <c r="C351">
        <v>1798</v>
      </c>
      <c r="D351" t="s">
        <v>3163</v>
      </c>
      <c r="E351" t="s">
        <v>3501</v>
      </c>
      <c r="H351">
        <v>1850</v>
      </c>
    </row>
    <row r="352" spans="1:8">
      <c r="A352" s="31" t="s">
        <v>3502</v>
      </c>
      <c r="B352">
        <v>69</v>
      </c>
      <c r="C352">
        <v>1789</v>
      </c>
      <c r="D352" t="s">
        <v>3166</v>
      </c>
      <c r="E352" t="s">
        <v>3501</v>
      </c>
      <c r="H352">
        <v>1850</v>
      </c>
    </row>
    <row r="353" spans="1:8">
      <c r="A353" s="31" t="s">
        <v>3167</v>
      </c>
      <c r="B353">
        <v>69</v>
      </c>
      <c r="C353">
        <v>1789</v>
      </c>
      <c r="D353" t="s">
        <v>3170</v>
      </c>
      <c r="E353" t="s">
        <v>2772</v>
      </c>
      <c r="H353">
        <v>1850</v>
      </c>
    </row>
    <row r="354" spans="1:8">
      <c r="A354" s="31" t="s">
        <v>3503</v>
      </c>
      <c r="B354">
        <v>34</v>
      </c>
      <c r="C354">
        <v>1824</v>
      </c>
      <c r="D354" t="s">
        <v>3173</v>
      </c>
      <c r="E354" t="s">
        <v>3501</v>
      </c>
      <c r="G354" t="s">
        <v>3541</v>
      </c>
      <c r="H354">
        <v>1850</v>
      </c>
    </row>
    <row r="355" spans="1:8">
      <c r="A355" s="31" t="s">
        <v>3176</v>
      </c>
      <c r="B355">
        <v>61</v>
      </c>
      <c r="C355">
        <v>1797</v>
      </c>
      <c r="D355" t="s">
        <v>3178</v>
      </c>
      <c r="E355" t="s">
        <v>3395</v>
      </c>
      <c r="H355">
        <v>1850</v>
      </c>
    </row>
    <row r="356" spans="1:8">
      <c r="A356" s="31" t="s">
        <v>3504</v>
      </c>
      <c r="B356">
        <v>71</v>
      </c>
      <c r="C356">
        <v>1787</v>
      </c>
      <c r="D356" t="s">
        <v>3180</v>
      </c>
      <c r="E356" t="s">
        <v>3389</v>
      </c>
      <c r="G356" t="s">
        <v>3540</v>
      </c>
      <c r="H356">
        <v>1850</v>
      </c>
    </row>
    <row r="357" spans="1:8">
      <c r="A357" s="31" t="s">
        <v>3505</v>
      </c>
      <c r="B357">
        <v>23</v>
      </c>
      <c r="C357">
        <v>1835</v>
      </c>
      <c r="D357" t="s">
        <v>3184</v>
      </c>
      <c r="E357" t="s">
        <v>3389</v>
      </c>
      <c r="G357" t="s">
        <v>3541</v>
      </c>
      <c r="H357">
        <v>1850</v>
      </c>
    </row>
    <row r="358" spans="1:8">
      <c r="A358" s="31" t="s">
        <v>3506</v>
      </c>
      <c r="B358">
        <v>44</v>
      </c>
      <c r="C358">
        <v>1814</v>
      </c>
      <c r="D358" t="s">
        <v>3187</v>
      </c>
      <c r="E358" t="s">
        <v>3389</v>
      </c>
      <c r="H358">
        <v>1850</v>
      </c>
    </row>
    <row r="359" spans="1:8">
      <c r="A359" s="31" t="s">
        <v>3507</v>
      </c>
      <c r="B359">
        <v>63</v>
      </c>
      <c r="C359">
        <v>1795</v>
      </c>
      <c r="D359" t="s">
        <v>3190</v>
      </c>
      <c r="E359" t="s">
        <v>3456</v>
      </c>
      <c r="H359">
        <v>1850</v>
      </c>
    </row>
    <row r="360" spans="1:8">
      <c r="A360" s="31" t="s">
        <v>3191</v>
      </c>
      <c r="B360">
        <v>51</v>
      </c>
      <c r="C360">
        <v>1807</v>
      </c>
      <c r="D360" t="s">
        <v>3193</v>
      </c>
      <c r="E360" t="s">
        <v>3380</v>
      </c>
      <c r="H360">
        <v>1850</v>
      </c>
    </row>
    <row r="361" spans="1:8">
      <c r="A361" s="31" t="s">
        <v>3508</v>
      </c>
      <c r="B361">
        <v>44</v>
      </c>
      <c r="C361">
        <v>1814</v>
      </c>
      <c r="D361" t="s">
        <v>3509</v>
      </c>
      <c r="E361" t="s">
        <v>3159</v>
      </c>
      <c r="H361">
        <v>1850</v>
      </c>
    </row>
    <row r="362" spans="1:8">
      <c r="A362" s="31" t="s">
        <v>5097</v>
      </c>
      <c r="B362">
        <v>57</v>
      </c>
      <c r="C362">
        <v>1801</v>
      </c>
      <c r="D362" t="s">
        <v>3198</v>
      </c>
      <c r="E362" t="s">
        <v>3510</v>
      </c>
      <c r="H362">
        <v>1850</v>
      </c>
    </row>
    <row r="363" spans="1:8">
      <c r="A363" s="31" t="s">
        <v>5098</v>
      </c>
      <c r="B363">
        <v>52</v>
      </c>
      <c r="C363">
        <v>1806</v>
      </c>
      <c r="D363" t="s">
        <v>3201</v>
      </c>
      <c r="E363" t="s">
        <v>3511</v>
      </c>
      <c r="H363">
        <v>1850</v>
      </c>
    </row>
    <row r="364" spans="1:8">
      <c r="A364" s="31" t="s">
        <v>5108</v>
      </c>
      <c r="B364">
        <v>71</v>
      </c>
      <c r="C364">
        <v>1787</v>
      </c>
      <c r="D364" t="s">
        <v>3204</v>
      </c>
      <c r="E364" t="s">
        <v>3511</v>
      </c>
      <c r="H364">
        <v>1850</v>
      </c>
    </row>
    <row r="365" spans="1:8">
      <c r="A365" s="31" t="s">
        <v>5100</v>
      </c>
      <c r="B365">
        <v>54</v>
      </c>
      <c r="C365">
        <v>1804</v>
      </c>
      <c r="D365" t="s">
        <v>3207</v>
      </c>
      <c r="E365" t="s">
        <v>3511</v>
      </c>
      <c r="H365">
        <v>1850</v>
      </c>
    </row>
    <row r="366" spans="1:8">
      <c r="A366" s="31" t="s">
        <v>5109</v>
      </c>
      <c r="B366">
        <v>64</v>
      </c>
      <c r="C366">
        <v>1794</v>
      </c>
      <c r="D366" t="s">
        <v>3210</v>
      </c>
      <c r="E366" t="s">
        <v>3512</v>
      </c>
      <c r="G366" t="s">
        <v>3540</v>
      </c>
      <c r="H366">
        <v>1850</v>
      </c>
    </row>
    <row r="367" spans="1:8">
      <c r="A367" s="31" t="s">
        <v>5102</v>
      </c>
      <c r="B367">
        <v>46</v>
      </c>
      <c r="C367">
        <v>1812</v>
      </c>
      <c r="D367" t="s">
        <v>3213</v>
      </c>
      <c r="E367" t="s">
        <v>3512</v>
      </c>
      <c r="H367">
        <v>1850</v>
      </c>
    </row>
    <row r="368" spans="1:8">
      <c r="A368" s="31" t="s">
        <v>5110</v>
      </c>
      <c r="B368">
        <v>56</v>
      </c>
      <c r="C368">
        <v>1802</v>
      </c>
      <c r="D368" t="s">
        <v>3513</v>
      </c>
      <c r="E368" t="s">
        <v>3512</v>
      </c>
      <c r="G368" t="s">
        <v>3535</v>
      </c>
      <c r="H368">
        <v>1850</v>
      </c>
    </row>
    <row r="369" spans="1:8">
      <c r="A369" s="31" t="s">
        <v>5103</v>
      </c>
      <c r="B369">
        <v>48</v>
      </c>
      <c r="C369">
        <v>1810</v>
      </c>
      <c r="D369" t="s">
        <v>3216</v>
      </c>
      <c r="E369" t="s">
        <v>3512</v>
      </c>
      <c r="H369">
        <v>1850</v>
      </c>
    </row>
    <row r="370" spans="1:8">
      <c r="A370" s="31" t="s">
        <v>5104</v>
      </c>
      <c r="B370">
        <v>64</v>
      </c>
      <c r="C370">
        <v>1794</v>
      </c>
      <c r="D370" t="s">
        <v>3219</v>
      </c>
      <c r="E370" t="s">
        <v>3415</v>
      </c>
      <c r="H370">
        <v>1850</v>
      </c>
    </row>
    <row r="371" spans="1:8">
      <c r="A371" s="31" t="s">
        <v>5111</v>
      </c>
      <c r="B371">
        <v>57</v>
      </c>
      <c r="C371">
        <v>1801</v>
      </c>
      <c r="D371" t="s">
        <v>3221</v>
      </c>
      <c r="E371" t="s">
        <v>3169</v>
      </c>
      <c r="G371" t="s">
        <v>3539</v>
      </c>
      <c r="H371">
        <v>1850</v>
      </c>
    </row>
    <row r="372" spans="1:8">
      <c r="A372" s="31" t="s">
        <v>3514</v>
      </c>
      <c r="B372">
        <v>64</v>
      </c>
      <c r="C372">
        <v>1794</v>
      </c>
      <c r="D372" t="s">
        <v>3227</v>
      </c>
      <c r="E372" t="s">
        <v>3515</v>
      </c>
      <c r="G372" t="s">
        <v>3535</v>
      </c>
      <c r="H372">
        <v>1850</v>
      </c>
    </row>
    <row r="373" spans="1:8">
      <c r="A373" s="31" t="s">
        <v>3516</v>
      </c>
      <c r="B373">
        <v>41</v>
      </c>
      <c r="C373">
        <v>1817</v>
      </c>
      <c r="D373" t="s">
        <v>3231</v>
      </c>
      <c r="E373" t="s">
        <v>3381</v>
      </c>
      <c r="H373">
        <v>1850</v>
      </c>
    </row>
    <row r="374" spans="1:8">
      <c r="A374" s="31" t="s">
        <v>3517</v>
      </c>
      <c r="B374">
        <v>49</v>
      </c>
      <c r="C374">
        <v>1809</v>
      </c>
      <c r="D374" t="s">
        <v>3518</v>
      </c>
      <c r="E374" t="s">
        <v>3381</v>
      </c>
      <c r="G374" t="s">
        <v>3541</v>
      </c>
      <c r="H374">
        <v>1850</v>
      </c>
    </row>
    <row r="375" spans="1:8">
      <c r="A375" s="31" t="s">
        <v>4623</v>
      </c>
      <c r="B375">
        <v>51</v>
      </c>
      <c r="C375">
        <v>1807</v>
      </c>
      <c r="D375" t="s">
        <v>3234</v>
      </c>
      <c r="E375" t="s">
        <v>3449</v>
      </c>
      <c r="G375" t="s">
        <v>3546</v>
      </c>
      <c r="H375">
        <v>1850</v>
      </c>
    </row>
    <row r="376" spans="1:8">
      <c r="A376" s="31" t="s">
        <v>4624</v>
      </c>
      <c r="B376">
        <v>73</v>
      </c>
      <c r="C376">
        <v>1785</v>
      </c>
      <c r="D376" t="s">
        <v>3237</v>
      </c>
      <c r="E376" t="s">
        <v>3519</v>
      </c>
      <c r="G376" t="s">
        <v>3543</v>
      </c>
      <c r="H376">
        <v>1850</v>
      </c>
    </row>
    <row r="377" spans="1:8">
      <c r="A377" s="31" t="s">
        <v>4625</v>
      </c>
      <c r="B377">
        <v>58</v>
      </c>
      <c r="C377">
        <v>1800</v>
      </c>
      <c r="D377" t="s">
        <v>3240</v>
      </c>
      <c r="E377" t="s">
        <v>3520</v>
      </c>
      <c r="G377" t="s">
        <v>3541</v>
      </c>
      <c r="H377">
        <v>1850</v>
      </c>
    </row>
    <row r="378" spans="1:8">
      <c r="A378" s="31" t="s">
        <v>4626</v>
      </c>
      <c r="B378">
        <v>44</v>
      </c>
      <c r="C378">
        <v>1814</v>
      </c>
      <c r="D378" t="s">
        <v>3243</v>
      </c>
      <c r="E378" t="s">
        <v>3520</v>
      </c>
      <c r="G378" t="s">
        <v>3536</v>
      </c>
      <c r="H378">
        <v>1850</v>
      </c>
    </row>
    <row r="379" spans="1:8">
      <c r="A379" s="31" t="s">
        <v>4618</v>
      </c>
      <c r="B379">
        <v>50</v>
      </c>
      <c r="C379">
        <v>1808</v>
      </c>
      <c r="D379" t="s">
        <v>3245</v>
      </c>
      <c r="E379" t="s">
        <v>3520</v>
      </c>
      <c r="H379">
        <v>1850</v>
      </c>
    </row>
    <row r="380" spans="1:8">
      <c r="A380" s="31" t="s">
        <v>4619</v>
      </c>
      <c r="B380">
        <v>65</v>
      </c>
      <c r="C380">
        <v>1793</v>
      </c>
      <c r="D380" t="s">
        <v>3248</v>
      </c>
      <c r="E380" t="s">
        <v>3520</v>
      </c>
      <c r="H380">
        <v>1850</v>
      </c>
    </row>
    <row r="381" spans="1:8">
      <c r="A381" s="31" t="s">
        <v>4522</v>
      </c>
      <c r="B381">
        <v>45</v>
      </c>
      <c r="C381">
        <v>1813</v>
      </c>
      <c r="D381" t="s">
        <v>3250</v>
      </c>
      <c r="E381" t="s">
        <v>3521</v>
      </c>
      <c r="G381" t="s">
        <v>3529</v>
      </c>
      <c r="H381">
        <v>1850</v>
      </c>
    </row>
    <row r="382" spans="1:8">
      <c r="A382" s="31" t="s">
        <v>4621</v>
      </c>
      <c r="B382">
        <v>61</v>
      </c>
      <c r="C382">
        <v>1797</v>
      </c>
      <c r="D382" t="s">
        <v>3253</v>
      </c>
      <c r="E382" t="s">
        <v>3521</v>
      </c>
      <c r="H382">
        <v>1850</v>
      </c>
    </row>
    <row r="383" spans="1:8">
      <c r="A383" s="31" t="s">
        <v>4622</v>
      </c>
      <c r="B383">
        <v>53</v>
      </c>
      <c r="C383">
        <v>1805</v>
      </c>
      <c r="D383" t="s">
        <v>3256</v>
      </c>
      <c r="E383" t="s">
        <v>3521</v>
      </c>
      <c r="H383">
        <v>1850</v>
      </c>
    </row>
    <row r="384" spans="1:8">
      <c r="A384" s="31" t="s">
        <v>3257</v>
      </c>
      <c r="B384">
        <v>57</v>
      </c>
      <c r="C384">
        <v>1801</v>
      </c>
      <c r="D384" t="s">
        <v>3259</v>
      </c>
      <c r="E384" t="s">
        <v>3521</v>
      </c>
      <c r="H384">
        <v>1850</v>
      </c>
    </row>
    <row r="385" spans="1:8">
      <c r="A385" s="31" t="s">
        <v>3522</v>
      </c>
      <c r="B385">
        <v>44</v>
      </c>
      <c r="C385">
        <v>1814</v>
      </c>
      <c r="D385" t="s">
        <v>3262</v>
      </c>
      <c r="E385" t="s">
        <v>3169</v>
      </c>
      <c r="G385" t="s">
        <v>3536</v>
      </c>
      <c r="H385">
        <v>1850</v>
      </c>
    </row>
    <row r="386" spans="1:8">
      <c r="A386" s="31" t="s">
        <v>3523</v>
      </c>
      <c r="B386">
        <v>53</v>
      </c>
      <c r="C386">
        <v>1805</v>
      </c>
      <c r="D386" t="s">
        <v>3524</v>
      </c>
      <c r="E386" t="s">
        <v>3394</v>
      </c>
      <c r="H386">
        <v>1850</v>
      </c>
    </row>
    <row r="387" spans="1:8">
      <c r="A387" s="31" t="s">
        <v>3525</v>
      </c>
      <c r="B387">
        <v>63</v>
      </c>
      <c r="C387">
        <v>1795</v>
      </c>
      <c r="D387" t="s">
        <v>3268</v>
      </c>
      <c r="E387" t="s">
        <v>3415</v>
      </c>
      <c r="G387" t="s">
        <v>3539</v>
      </c>
      <c r="H387">
        <v>1850</v>
      </c>
    </row>
    <row r="388" spans="1:8">
      <c r="A388" s="31" t="s">
        <v>3526</v>
      </c>
      <c r="B388">
        <v>41</v>
      </c>
      <c r="C388">
        <v>1817</v>
      </c>
      <c r="D388" t="s">
        <v>3272</v>
      </c>
      <c r="E388" t="s">
        <v>3433</v>
      </c>
      <c r="G388" t="s">
        <v>3540</v>
      </c>
      <c r="H388">
        <v>1850</v>
      </c>
    </row>
    <row r="389" spans="1:8" ht="15.75" thickBot="1">
      <c r="A389" s="308" t="s">
        <v>3527</v>
      </c>
      <c r="B389" s="309">
        <v>47</v>
      </c>
      <c r="C389" s="309">
        <v>1811</v>
      </c>
      <c r="D389" s="309" t="s">
        <v>3276</v>
      </c>
      <c r="E389" s="309" t="s">
        <v>3433</v>
      </c>
      <c r="F389" s="309"/>
      <c r="G389" s="309"/>
      <c r="H389" s="309">
        <v>1850</v>
      </c>
    </row>
    <row r="390" spans="1:8">
      <c r="A390" s="31" t="s">
        <v>4394</v>
      </c>
      <c r="D390">
        <v>61</v>
      </c>
      <c r="H390">
        <v>1834</v>
      </c>
    </row>
    <row r="391" spans="1:8">
      <c r="A391" s="31" t="s">
        <v>4311</v>
      </c>
      <c r="D391">
        <v>62</v>
      </c>
      <c r="H391">
        <v>1834</v>
      </c>
    </row>
    <row r="392" spans="1:8">
      <c r="A392" s="31" t="s">
        <v>4395</v>
      </c>
      <c r="D392">
        <v>63</v>
      </c>
      <c r="H392">
        <v>1834</v>
      </c>
    </row>
    <row r="393" spans="1:8">
      <c r="A393" s="31" t="s">
        <v>4404</v>
      </c>
      <c r="D393">
        <v>64</v>
      </c>
      <c r="H393">
        <v>1834</v>
      </c>
    </row>
    <row r="394" spans="1:8">
      <c r="A394" s="164" t="s">
        <v>4381</v>
      </c>
      <c r="B394" s="158">
        <v>34</v>
      </c>
      <c r="C394" s="158">
        <f>1834-Рев_tb[[#This Row],[Воз-т на момент переписи или предыдущей]]</f>
        <v>1800</v>
      </c>
      <c r="D394" s="158">
        <v>65</v>
      </c>
      <c r="E394" s="158" t="s">
        <v>3557</v>
      </c>
      <c r="F394" s="158"/>
      <c r="G394" s="158"/>
      <c r="H394">
        <v>1834</v>
      </c>
    </row>
    <row r="395" spans="1:8">
      <c r="A395" s="161" t="s">
        <v>4405</v>
      </c>
      <c r="B395" s="158">
        <v>16</v>
      </c>
      <c r="C395" s="158">
        <f>1834-Рев_tb[[#This Row],[Воз-т на момент переписи или предыдущей]]</f>
        <v>1818</v>
      </c>
      <c r="D395" s="158" t="s">
        <v>3558</v>
      </c>
      <c r="E395" s="158"/>
      <c r="F395" s="158"/>
      <c r="G395" s="158"/>
      <c r="H395">
        <v>1834</v>
      </c>
    </row>
    <row r="396" spans="1:8">
      <c r="A396" s="161" t="s">
        <v>4406</v>
      </c>
      <c r="B396" s="158">
        <v>5</v>
      </c>
      <c r="C396" s="158">
        <f>1834-Рев_tb[[#This Row],[Воз-т на момент переписи или предыдущей]]</f>
        <v>1829</v>
      </c>
      <c r="D396" s="158" t="s">
        <v>3558</v>
      </c>
      <c r="E396" s="158"/>
      <c r="F396" s="158"/>
      <c r="G396" s="158"/>
      <c r="H396">
        <v>1834</v>
      </c>
    </row>
    <row r="397" spans="1:8">
      <c r="A397" s="161" t="s">
        <v>4397</v>
      </c>
      <c r="B397" s="158">
        <v>31</v>
      </c>
      <c r="C397" s="158">
        <f>1834-Рев_tb[[#This Row],[Воз-т на момент переписи или предыдущей]]</f>
        <v>1803</v>
      </c>
      <c r="D397" s="158" t="s">
        <v>3559</v>
      </c>
      <c r="E397" s="158"/>
      <c r="F397" s="158"/>
      <c r="G397" s="158"/>
      <c r="H397">
        <v>1834</v>
      </c>
    </row>
    <row r="398" spans="1:8">
      <c r="A398" s="161" t="s">
        <v>4398</v>
      </c>
      <c r="B398" s="158">
        <v>10</v>
      </c>
      <c r="C398" s="158">
        <f>1834-Рев_tb[[#This Row],[Воз-т на момент переписи или предыдущей]]</f>
        <v>1824</v>
      </c>
      <c r="D398" s="158" t="s">
        <v>3551</v>
      </c>
      <c r="E398" s="158"/>
      <c r="F398" s="158"/>
      <c r="G398" s="158"/>
      <c r="H398">
        <v>1834</v>
      </c>
    </row>
    <row r="399" spans="1:8">
      <c r="A399" s="161" t="s">
        <v>4323</v>
      </c>
      <c r="B399" s="158">
        <v>0.5</v>
      </c>
      <c r="C399" s="158">
        <f>1834-Рев_tb[[#This Row],[Воз-т на момент переписи или предыдущей]]</f>
        <v>1833.5</v>
      </c>
      <c r="D399" s="158" t="s">
        <v>3551</v>
      </c>
      <c r="E399" s="158"/>
      <c r="F399" s="158"/>
      <c r="G399" s="158"/>
      <c r="H399">
        <v>1834</v>
      </c>
    </row>
    <row r="400" spans="1:8">
      <c r="A400" s="161" t="s">
        <v>4407</v>
      </c>
      <c r="B400" s="158">
        <v>78</v>
      </c>
      <c r="C400" s="158">
        <f>1834-Рев_tb[[#This Row],[Воз-т на момент переписи или предыдущей]]</f>
        <v>1756</v>
      </c>
      <c r="D400" s="158" t="s">
        <v>3560</v>
      </c>
      <c r="E400" s="158"/>
      <c r="F400" s="158"/>
      <c r="G400" s="158"/>
      <c r="H400">
        <v>1834</v>
      </c>
    </row>
    <row r="401" spans="1:8">
      <c r="A401" s="161" t="s">
        <v>4408</v>
      </c>
      <c r="B401" s="158">
        <v>38</v>
      </c>
      <c r="C401" s="158">
        <f>1834-Рев_tb[[#This Row],[Воз-т на момент переписи или предыдущей]]</f>
        <v>1796</v>
      </c>
      <c r="D401" s="158" t="s">
        <v>3561</v>
      </c>
      <c r="E401" s="158"/>
      <c r="F401" s="158"/>
      <c r="G401" s="158"/>
      <c r="H401">
        <v>1834</v>
      </c>
    </row>
    <row r="402" spans="1:8">
      <c r="A402" s="161" t="s">
        <v>4409</v>
      </c>
      <c r="B402" s="158">
        <v>35</v>
      </c>
      <c r="C402" s="158">
        <f>1834-Рев_tb[[#This Row],[Воз-т на момент переписи или предыдущей]]</f>
        <v>1799</v>
      </c>
      <c r="D402" s="158" t="s">
        <v>3562</v>
      </c>
      <c r="E402" s="158"/>
      <c r="F402" s="158"/>
      <c r="G402" s="158"/>
      <c r="H402">
        <v>1834</v>
      </c>
    </row>
    <row r="403" spans="1:8">
      <c r="A403" s="161" t="s">
        <v>4410</v>
      </c>
      <c r="B403" s="158">
        <v>12</v>
      </c>
      <c r="C403" s="158">
        <f>1834-Рев_tb[[#This Row],[Воз-т на момент переписи или предыдущей]]</f>
        <v>1822</v>
      </c>
      <c r="D403" s="158" t="s">
        <v>3563</v>
      </c>
      <c r="E403" s="158"/>
      <c r="F403" s="158"/>
      <c r="G403" s="158"/>
      <c r="H403">
        <v>1834</v>
      </c>
    </row>
    <row r="404" spans="1:8">
      <c r="A404" s="161" t="s">
        <v>4411</v>
      </c>
      <c r="B404" s="158">
        <v>5</v>
      </c>
      <c r="C404" s="158">
        <f>1834-Рев_tb[[#This Row],[Воз-т на момент переписи или предыдущей]]</f>
        <v>1829</v>
      </c>
      <c r="D404" s="158" t="s">
        <v>3563</v>
      </c>
      <c r="E404" s="158"/>
      <c r="F404" s="158"/>
      <c r="G404" s="158"/>
      <c r="H404">
        <v>1834</v>
      </c>
    </row>
    <row r="405" spans="1:8">
      <c r="A405" s="161" t="s">
        <v>4399</v>
      </c>
      <c r="B405" s="158">
        <v>3</v>
      </c>
      <c r="C405" s="158">
        <f>1834-Рев_tb[[#This Row],[Воз-т на момент переписи или предыдущей]]</f>
        <v>1831</v>
      </c>
      <c r="D405" s="158" t="s">
        <v>3563</v>
      </c>
      <c r="E405" s="158"/>
      <c r="F405" s="158"/>
      <c r="G405" s="158"/>
      <c r="H405">
        <v>1834</v>
      </c>
    </row>
    <row r="406" spans="1:8">
      <c r="A406" s="161" t="s">
        <v>4383</v>
      </c>
      <c r="B406" s="158">
        <v>25</v>
      </c>
      <c r="C406" s="158">
        <f>1834-Рев_tb[[#This Row],[Воз-т на момент переписи или предыдущей]]</f>
        <v>1809</v>
      </c>
      <c r="D406" s="158" t="s">
        <v>3564</v>
      </c>
      <c r="E406" s="158"/>
      <c r="F406" s="158"/>
      <c r="G406" s="158"/>
      <c r="H406">
        <v>1834</v>
      </c>
    </row>
    <row r="407" spans="1:8">
      <c r="A407" s="161" t="s">
        <v>4312</v>
      </c>
      <c r="B407" s="158">
        <v>1.5</v>
      </c>
      <c r="C407" s="158">
        <f>1834-Рев_tb[[#This Row],[Воз-т на момент переписи или предыдущей]]</f>
        <v>1832.5</v>
      </c>
      <c r="D407" s="158" t="s">
        <v>3357</v>
      </c>
      <c r="E407" s="158"/>
      <c r="F407" s="158"/>
      <c r="G407" s="158"/>
      <c r="H407">
        <v>1834</v>
      </c>
    </row>
    <row r="408" spans="1:8">
      <c r="A408" s="161" t="s">
        <v>4400</v>
      </c>
      <c r="B408" s="158">
        <v>55</v>
      </c>
      <c r="C408" s="158">
        <f>1834-Рев_tb[[#This Row],[Воз-т на момент переписи или предыдущей]]</f>
        <v>1779</v>
      </c>
      <c r="D408" s="158" t="s">
        <v>3555</v>
      </c>
      <c r="E408" s="158"/>
      <c r="F408" s="158"/>
      <c r="G408" s="158"/>
      <c r="H408">
        <v>1834</v>
      </c>
    </row>
    <row r="409" spans="1:8">
      <c r="A409" s="161" t="s">
        <v>4387</v>
      </c>
      <c r="B409" s="158">
        <v>26</v>
      </c>
      <c r="C409" s="158">
        <f>1834-Рев_tb[[#This Row],[Воз-т на момент переписи или предыдущей]]</f>
        <v>1808</v>
      </c>
      <c r="D409" s="158" t="s">
        <v>3556</v>
      </c>
      <c r="E409" s="158"/>
      <c r="F409" s="158"/>
      <c r="G409" s="158"/>
      <c r="H409">
        <v>1834</v>
      </c>
    </row>
    <row r="410" spans="1:8">
      <c r="A410" s="31" t="s">
        <v>3565</v>
      </c>
      <c r="B410">
        <v>39</v>
      </c>
      <c r="C410">
        <v>1819</v>
      </c>
      <c r="D410" t="s">
        <v>3566</v>
      </c>
      <c r="E410" t="s">
        <v>3218</v>
      </c>
      <c r="G410" t="s">
        <v>3877</v>
      </c>
      <c r="H410">
        <v>1816</v>
      </c>
    </row>
    <row r="411" spans="1:8">
      <c r="A411" s="31" t="s">
        <v>3370</v>
      </c>
      <c r="B411">
        <v>39</v>
      </c>
      <c r="C411">
        <v>1819</v>
      </c>
      <c r="D411" t="s">
        <v>3567</v>
      </c>
      <c r="E411" t="s">
        <v>2855</v>
      </c>
      <c r="H411">
        <v>1816</v>
      </c>
    </row>
    <row r="412" spans="1:8">
      <c r="A412" s="31" t="s">
        <v>3372</v>
      </c>
      <c r="B412">
        <v>56</v>
      </c>
      <c r="C412">
        <v>1802</v>
      </c>
      <c r="D412" t="s">
        <v>3568</v>
      </c>
      <c r="E412" t="s">
        <v>2829</v>
      </c>
      <c r="H412">
        <v>1816</v>
      </c>
    </row>
    <row r="413" spans="1:8">
      <c r="A413" s="31" t="s">
        <v>3569</v>
      </c>
      <c r="B413">
        <v>64</v>
      </c>
      <c r="C413">
        <v>1794</v>
      </c>
      <c r="D413" t="s">
        <v>3570</v>
      </c>
      <c r="E413" t="s">
        <v>3066</v>
      </c>
      <c r="H413">
        <v>1816</v>
      </c>
    </row>
    <row r="414" spans="1:8">
      <c r="A414" s="31" t="s">
        <v>3374</v>
      </c>
      <c r="B414">
        <v>28</v>
      </c>
      <c r="C414">
        <v>1830</v>
      </c>
      <c r="D414" t="s">
        <v>3571</v>
      </c>
      <c r="E414" t="s">
        <v>3066</v>
      </c>
      <c r="H414">
        <v>1816</v>
      </c>
    </row>
    <row r="415" spans="1:8">
      <c r="A415" s="31" t="s">
        <v>3572</v>
      </c>
      <c r="B415">
        <v>29</v>
      </c>
      <c r="C415">
        <v>1829</v>
      </c>
      <c r="D415" t="s">
        <v>3573</v>
      </c>
      <c r="E415" t="s">
        <v>3066</v>
      </c>
      <c r="H415">
        <f>1834-18</f>
        <v>1816</v>
      </c>
    </row>
    <row r="416" spans="1:8">
      <c r="A416" s="31" t="s">
        <v>4412</v>
      </c>
      <c r="B416">
        <v>54</v>
      </c>
      <c r="C416">
        <v>1804</v>
      </c>
      <c r="D416" t="s">
        <v>3574</v>
      </c>
      <c r="E416" t="s">
        <v>2804</v>
      </c>
      <c r="G416" t="s">
        <v>3877</v>
      </c>
      <c r="H416">
        <f t="shared" ref="H416:H496" si="0">1834-18</f>
        <v>1816</v>
      </c>
    </row>
    <row r="417" spans="1:8">
      <c r="A417" s="31" t="s">
        <v>4413</v>
      </c>
      <c r="B417">
        <v>53</v>
      </c>
      <c r="C417">
        <v>1805</v>
      </c>
      <c r="D417" t="s">
        <v>3575</v>
      </c>
      <c r="E417" t="s">
        <v>2815</v>
      </c>
      <c r="H417">
        <f t="shared" si="0"/>
        <v>1816</v>
      </c>
    </row>
    <row r="418" spans="1:8">
      <c r="A418" s="31" t="s">
        <v>4395</v>
      </c>
      <c r="B418">
        <v>48</v>
      </c>
      <c r="C418">
        <v>1810</v>
      </c>
      <c r="D418" t="s">
        <v>3576</v>
      </c>
      <c r="E418" t="s">
        <v>2815</v>
      </c>
      <c r="H418">
        <f t="shared" si="0"/>
        <v>1816</v>
      </c>
    </row>
    <row r="419" spans="1:8">
      <c r="A419" s="189" t="s">
        <v>4404</v>
      </c>
      <c r="B419" s="190">
        <v>17</v>
      </c>
      <c r="C419" s="190">
        <f>1816-Рев_tb[[#This Row],[Воз-т на момент переписи или предыдущей]]</f>
        <v>1799</v>
      </c>
      <c r="D419" s="190" t="s">
        <v>3577</v>
      </c>
      <c r="E419" s="190" t="s">
        <v>2815</v>
      </c>
      <c r="F419" s="190"/>
      <c r="G419" s="190"/>
      <c r="H419">
        <f t="shared" si="0"/>
        <v>1816</v>
      </c>
    </row>
    <row r="420" spans="1:8">
      <c r="A420" s="191" t="s">
        <v>4414</v>
      </c>
      <c r="B420" s="190">
        <v>14</v>
      </c>
      <c r="C420" s="190">
        <f>1816-Рев_tb[[#This Row],[Воз-т на момент переписи или предыдущей]]</f>
        <v>1802</v>
      </c>
      <c r="D420" s="190" t="s">
        <v>4415</v>
      </c>
      <c r="E420" s="190"/>
      <c r="F420" s="190"/>
      <c r="G420" s="190"/>
      <c r="H420">
        <f t="shared" si="0"/>
        <v>1816</v>
      </c>
    </row>
    <row r="421" spans="1:8">
      <c r="A421" s="191" t="s">
        <v>4416</v>
      </c>
      <c r="B421" s="190">
        <v>20</v>
      </c>
      <c r="C421" s="190">
        <f>1816-Рев_tb[[#This Row],[Воз-т на момент переписи или предыдущей]]</f>
        <v>1796</v>
      </c>
      <c r="D421" s="190" t="s">
        <v>3908</v>
      </c>
      <c r="E421" s="190"/>
      <c r="F421" s="190"/>
      <c r="G421" s="190"/>
      <c r="H421">
        <f t="shared" si="0"/>
        <v>1816</v>
      </c>
    </row>
    <row r="422" spans="1:8">
      <c r="A422" s="191" t="s">
        <v>4417</v>
      </c>
      <c r="B422" s="190" t="s">
        <v>2664</v>
      </c>
      <c r="C422" s="190">
        <v>1816</v>
      </c>
      <c r="D422" s="190" t="s">
        <v>3909</v>
      </c>
      <c r="E422" s="190"/>
      <c r="F422" s="190"/>
      <c r="G422" s="190"/>
      <c r="H422">
        <f t="shared" si="0"/>
        <v>1816</v>
      </c>
    </row>
    <row r="423" spans="1:8">
      <c r="A423" s="191" t="s">
        <v>4418</v>
      </c>
      <c r="B423" s="190">
        <v>11</v>
      </c>
      <c r="C423" s="190">
        <f>1816-Рев_tb[[#This Row],[Воз-т на момент переписи или предыдущей]]</f>
        <v>1805</v>
      </c>
      <c r="D423" s="190" t="s">
        <v>3910</v>
      </c>
      <c r="E423" s="190"/>
      <c r="F423" s="190"/>
      <c r="G423" s="190"/>
      <c r="H423">
        <f t="shared" si="0"/>
        <v>1816</v>
      </c>
    </row>
    <row r="424" spans="1:8">
      <c r="A424" s="191" t="s">
        <v>4419</v>
      </c>
      <c r="B424" s="190">
        <v>9</v>
      </c>
      <c r="C424" s="190">
        <f>1816-Рев_tb[[#This Row],[Воз-т на момент переписи или предыдущей]]</f>
        <v>1807</v>
      </c>
      <c r="D424" s="190" t="s">
        <v>3911</v>
      </c>
      <c r="E424" s="190"/>
      <c r="F424" s="190"/>
      <c r="G424" s="190"/>
      <c r="H424">
        <f t="shared" si="0"/>
        <v>1816</v>
      </c>
    </row>
    <row r="425" spans="1:8">
      <c r="A425" s="164" t="s">
        <v>4420</v>
      </c>
      <c r="B425" s="158">
        <v>23</v>
      </c>
      <c r="C425" s="158">
        <f>1816-4-Рев_tb[[#This Row],[Воз-т на момент переписи или предыдущей]]</f>
        <v>1789</v>
      </c>
      <c r="D425" s="158" t="s">
        <v>3578</v>
      </c>
      <c r="E425" s="158" t="s">
        <v>2815</v>
      </c>
      <c r="F425" s="158"/>
      <c r="G425" s="158" t="s">
        <v>3877</v>
      </c>
      <c r="H425">
        <f t="shared" si="0"/>
        <v>1816</v>
      </c>
    </row>
    <row r="426" spans="1:8">
      <c r="A426" s="161" t="s">
        <v>4383</v>
      </c>
      <c r="B426" s="158">
        <v>7</v>
      </c>
      <c r="C426" s="158">
        <f>1816-Рев_tb[[#This Row],[Воз-т на момент переписи или предыдущей]]</f>
        <v>1809</v>
      </c>
      <c r="D426" s="158" t="s">
        <v>3883</v>
      </c>
      <c r="E426" s="158"/>
      <c r="F426" s="158"/>
      <c r="G426" s="158"/>
      <c r="H426">
        <f t="shared" si="0"/>
        <v>1816</v>
      </c>
    </row>
    <row r="427" spans="1:8">
      <c r="A427" s="161" t="s">
        <v>4403</v>
      </c>
      <c r="B427" s="158">
        <v>19</v>
      </c>
      <c r="C427" s="158">
        <f>1816-4-Рев_tb[[#This Row],[Воз-т на момент переписи или предыдущей]]</f>
        <v>1793</v>
      </c>
      <c r="D427" s="158" t="s">
        <v>3884</v>
      </c>
      <c r="E427" s="158"/>
      <c r="F427" s="158"/>
      <c r="G427" s="158" t="s">
        <v>3886</v>
      </c>
      <c r="H427">
        <f t="shared" si="0"/>
        <v>1816</v>
      </c>
    </row>
    <row r="428" spans="1:8">
      <c r="A428" s="161" t="s">
        <v>4381</v>
      </c>
      <c r="B428" s="158">
        <v>16</v>
      </c>
      <c r="C428" s="158">
        <f>1816-Рев_tb[[#This Row],[Воз-т на момент переписи или предыдущей]]</f>
        <v>1800</v>
      </c>
      <c r="D428" s="158" t="s">
        <v>3885</v>
      </c>
      <c r="E428" s="158"/>
      <c r="F428" s="158"/>
      <c r="G428" s="158"/>
      <c r="H428">
        <f t="shared" si="0"/>
        <v>1816</v>
      </c>
    </row>
    <row r="429" spans="1:8">
      <c r="A429" s="161" t="s">
        <v>4397</v>
      </c>
      <c r="B429" s="158">
        <v>13</v>
      </c>
      <c r="C429" s="158">
        <f>1816-Рев_tb[[#This Row],[Воз-т на момент переписи или предыдущей]]</f>
        <v>1803</v>
      </c>
      <c r="D429" s="158" t="s">
        <v>3885</v>
      </c>
      <c r="E429" s="158"/>
      <c r="F429" s="158"/>
      <c r="G429" s="158"/>
      <c r="H429">
        <f t="shared" si="0"/>
        <v>1816</v>
      </c>
    </row>
    <row r="430" spans="1:8">
      <c r="A430" s="161" t="s">
        <v>4407</v>
      </c>
      <c r="B430" s="158">
        <v>60</v>
      </c>
      <c r="C430" s="158">
        <f>1816-Рев_tb[[#This Row],[Воз-т на момент переписи или предыдущей]]</f>
        <v>1756</v>
      </c>
      <c r="D430" s="158" t="s">
        <v>3887</v>
      </c>
      <c r="E430" s="158"/>
      <c r="F430" s="158"/>
      <c r="G430" s="158"/>
      <c r="H430">
        <f t="shared" si="0"/>
        <v>1816</v>
      </c>
    </row>
    <row r="431" spans="1:8">
      <c r="A431" s="161" t="s">
        <v>4400</v>
      </c>
      <c r="B431" s="158">
        <v>37</v>
      </c>
      <c r="C431" s="158">
        <f>1816-Рев_tb[[#This Row],[Воз-т на момент переписи или предыдущей]]</f>
        <v>1779</v>
      </c>
      <c r="D431" s="158" t="s">
        <v>3888</v>
      </c>
      <c r="E431" s="158"/>
      <c r="F431" s="158"/>
      <c r="G431" s="158"/>
      <c r="H431">
        <f t="shared" si="0"/>
        <v>1816</v>
      </c>
    </row>
    <row r="432" spans="1:8">
      <c r="A432" s="161" t="s">
        <v>4421</v>
      </c>
      <c r="B432" s="158">
        <v>10</v>
      </c>
      <c r="C432" s="158">
        <f>1816-Рев_tb[[#This Row],[Воз-т на момент переписи или предыдущей]]</f>
        <v>1806</v>
      </c>
      <c r="D432" s="158" t="s">
        <v>3889</v>
      </c>
      <c r="E432" s="158"/>
      <c r="F432" s="158"/>
      <c r="G432" s="158"/>
      <c r="H432">
        <f t="shared" si="0"/>
        <v>1816</v>
      </c>
    </row>
    <row r="433" spans="1:8">
      <c r="A433" s="161" t="s">
        <v>4422</v>
      </c>
      <c r="B433" s="158">
        <v>8</v>
      </c>
      <c r="C433" s="158">
        <f>1816-Рев_tb[[#This Row],[Воз-т на момент переписи или предыдущей]]</f>
        <v>1808</v>
      </c>
      <c r="D433" s="158" t="s">
        <v>3889</v>
      </c>
      <c r="E433" s="158"/>
      <c r="F433" s="158"/>
      <c r="G433" s="158"/>
      <c r="H433">
        <f t="shared" si="0"/>
        <v>1816</v>
      </c>
    </row>
    <row r="434" spans="1:8">
      <c r="A434" s="161" t="s">
        <v>4408</v>
      </c>
      <c r="B434" s="158">
        <v>20</v>
      </c>
      <c r="C434" s="158">
        <f>1816-Рев_tb[[#This Row],[Воз-т на момент переписи или предыдущей]]</f>
        <v>1796</v>
      </c>
      <c r="D434" s="158" t="s">
        <v>3561</v>
      </c>
      <c r="E434" s="158"/>
      <c r="F434" s="158"/>
      <c r="G434" s="158"/>
      <c r="H434">
        <f t="shared" si="0"/>
        <v>1816</v>
      </c>
    </row>
    <row r="435" spans="1:8">
      <c r="A435" s="161" t="s">
        <v>4423</v>
      </c>
      <c r="B435" s="158">
        <v>20</v>
      </c>
      <c r="C435" s="158">
        <f>1816-Рев_tb[[#This Row],[Воз-т на момент переписи или предыдущей]]</f>
        <v>1796</v>
      </c>
      <c r="D435" s="158" t="s">
        <v>3890</v>
      </c>
      <c r="E435" s="158"/>
      <c r="F435" s="158"/>
      <c r="G435" s="158"/>
    </row>
    <row r="436" spans="1:8">
      <c r="A436" s="161" t="s">
        <v>4424</v>
      </c>
      <c r="B436" s="158">
        <v>18</v>
      </c>
      <c r="C436" s="158">
        <f>1816-Рев_tb[[#This Row],[Воз-т на момент переписи или предыдущей]]</f>
        <v>1798</v>
      </c>
      <c r="D436" s="158" t="s">
        <v>3890</v>
      </c>
      <c r="E436" s="158"/>
      <c r="F436" s="158"/>
      <c r="G436" s="158"/>
      <c r="H436">
        <f t="shared" si="0"/>
        <v>1816</v>
      </c>
    </row>
    <row r="437" spans="1:8">
      <c r="A437" s="161" t="s">
        <v>4425</v>
      </c>
      <c r="B437" s="158">
        <v>8</v>
      </c>
      <c r="C437" s="158">
        <f>1816-Рев_tb[[#This Row],[Воз-т на момент переписи или предыдущей]]</f>
        <v>1808</v>
      </c>
      <c r="D437" s="158" t="s">
        <v>3890</v>
      </c>
      <c r="E437" s="158"/>
      <c r="F437" s="158"/>
      <c r="G437" s="158"/>
      <c r="H437">
        <f t="shared" si="0"/>
        <v>1816</v>
      </c>
    </row>
    <row r="438" spans="1:8">
      <c r="A438" s="31" t="s">
        <v>4807</v>
      </c>
      <c r="B438">
        <v>26</v>
      </c>
      <c r="C438">
        <v>1832</v>
      </c>
      <c r="D438" t="s">
        <v>3579</v>
      </c>
      <c r="E438" t="s">
        <v>2922</v>
      </c>
      <c r="H438">
        <f t="shared" si="0"/>
        <v>1816</v>
      </c>
    </row>
    <row r="439" spans="1:8">
      <c r="A439" s="31" t="s">
        <v>4808</v>
      </c>
      <c r="B439">
        <v>47</v>
      </c>
      <c r="C439">
        <v>1811</v>
      </c>
      <c r="D439" t="s">
        <v>3580</v>
      </c>
      <c r="E439" t="s">
        <v>2922</v>
      </c>
      <c r="H439">
        <f t="shared" si="0"/>
        <v>1816</v>
      </c>
    </row>
    <row r="440" spans="1:8">
      <c r="A440" s="31" t="s">
        <v>4809</v>
      </c>
      <c r="B440">
        <v>47</v>
      </c>
      <c r="C440">
        <v>1811</v>
      </c>
      <c r="D440" t="s">
        <v>3581</v>
      </c>
      <c r="E440" t="s">
        <v>2922</v>
      </c>
      <c r="H440">
        <f t="shared" si="0"/>
        <v>1816</v>
      </c>
    </row>
    <row r="441" spans="1:8">
      <c r="A441" s="31" t="s">
        <v>4810</v>
      </c>
      <c r="B441">
        <v>42</v>
      </c>
      <c r="C441">
        <v>1816</v>
      </c>
      <c r="D441" t="s">
        <v>3582</v>
      </c>
      <c r="E441" t="s">
        <v>2922</v>
      </c>
      <c r="G441" t="s">
        <v>3877</v>
      </c>
      <c r="H441">
        <f t="shared" si="0"/>
        <v>1816</v>
      </c>
    </row>
    <row r="442" spans="1:8">
      <c r="A442" s="31" t="s">
        <v>4811</v>
      </c>
      <c r="B442">
        <v>49</v>
      </c>
      <c r="C442">
        <v>1809</v>
      </c>
      <c r="D442" t="s">
        <v>3583</v>
      </c>
      <c r="E442" t="s">
        <v>2873</v>
      </c>
      <c r="G442" t="s">
        <v>3877</v>
      </c>
      <c r="H442">
        <f t="shared" si="0"/>
        <v>1816</v>
      </c>
    </row>
    <row r="443" spans="1:8">
      <c r="A443" s="31" t="s">
        <v>4812</v>
      </c>
      <c r="B443">
        <v>38</v>
      </c>
      <c r="C443">
        <v>1820</v>
      </c>
      <c r="D443" t="s">
        <v>3584</v>
      </c>
      <c r="E443" t="s">
        <v>2873</v>
      </c>
      <c r="H443">
        <f t="shared" si="0"/>
        <v>1816</v>
      </c>
    </row>
    <row r="444" spans="1:8">
      <c r="A444" s="31" t="s">
        <v>4813</v>
      </c>
      <c r="B444">
        <v>55</v>
      </c>
      <c r="C444">
        <v>1803</v>
      </c>
      <c r="D444" t="s">
        <v>3585</v>
      </c>
      <c r="E444" t="s">
        <v>2730</v>
      </c>
      <c r="H444">
        <f t="shared" si="0"/>
        <v>1816</v>
      </c>
    </row>
    <row r="445" spans="1:8">
      <c r="A445" s="31" t="s">
        <v>4805</v>
      </c>
      <c r="B445">
        <v>50</v>
      </c>
      <c r="C445">
        <v>1808</v>
      </c>
      <c r="D445" t="s">
        <v>3586</v>
      </c>
      <c r="E445" t="s">
        <v>2730</v>
      </c>
      <c r="H445">
        <f t="shared" si="0"/>
        <v>1816</v>
      </c>
    </row>
    <row r="446" spans="1:8">
      <c r="A446" s="31" t="s">
        <v>3385</v>
      </c>
      <c r="B446">
        <v>56</v>
      </c>
      <c r="C446">
        <v>1802</v>
      </c>
      <c r="D446" t="s">
        <v>3587</v>
      </c>
      <c r="E446" t="s">
        <v>3588</v>
      </c>
      <c r="H446">
        <f t="shared" si="0"/>
        <v>1816</v>
      </c>
    </row>
    <row r="447" spans="1:8">
      <c r="A447" s="31" t="s">
        <v>3589</v>
      </c>
      <c r="B447">
        <v>46</v>
      </c>
      <c r="C447">
        <v>1812</v>
      </c>
      <c r="D447" t="s">
        <v>3590</v>
      </c>
      <c r="E447" t="s">
        <v>3588</v>
      </c>
      <c r="H447">
        <f t="shared" si="0"/>
        <v>1816</v>
      </c>
    </row>
    <row r="448" spans="1:8">
      <c r="A448" s="31" t="s">
        <v>3591</v>
      </c>
      <c r="B448">
        <v>44</v>
      </c>
      <c r="C448">
        <v>1814</v>
      </c>
      <c r="D448" t="s">
        <v>3592</v>
      </c>
      <c r="E448" t="s">
        <v>2893</v>
      </c>
      <c r="H448">
        <f t="shared" si="0"/>
        <v>1816</v>
      </c>
    </row>
    <row r="449" spans="1:8">
      <c r="A449" s="31" t="s">
        <v>3593</v>
      </c>
      <c r="B449">
        <v>37</v>
      </c>
      <c r="C449">
        <v>1821</v>
      </c>
      <c r="D449" t="s">
        <v>3594</v>
      </c>
      <c r="E449" t="s">
        <v>2893</v>
      </c>
      <c r="G449" t="s">
        <v>3878</v>
      </c>
      <c r="H449">
        <f t="shared" si="0"/>
        <v>1816</v>
      </c>
    </row>
    <row r="450" spans="1:8">
      <c r="A450" s="31" t="s">
        <v>3595</v>
      </c>
      <c r="B450">
        <v>31</v>
      </c>
      <c r="C450">
        <v>1827</v>
      </c>
      <c r="D450" t="s">
        <v>3596</v>
      </c>
      <c r="E450" t="s">
        <v>2893</v>
      </c>
      <c r="H450">
        <f t="shared" si="0"/>
        <v>1816</v>
      </c>
    </row>
    <row r="451" spans="1:8">
      <c r="A451" s="31" t="s">
        <v>3597</v>
      </c>
      <c r="B451">
        <v>53</v>
      </c>
      <c r="C451">
        <v>1805</v>
      </c>
      <c r="D451" t="s">
        <v>3598</v>
      </c>
      <c r="E451" t="s">
        <v>3077</v>
      </c>
      <c r="H451">
        <f t="shared" si="0"/>
        <v>1816</v>
      </c>
    </row>
    <row r="452" spans="1:8">
      <c r="A452" s="31" t="s">
        <v>3599</v>
      </c>
      <c r="B452">
        <v>46</v>
      </c>
      <c r="C452">
        <v>1812</v>
      </c>
      <c r="D452" t="s">
        <v>3600</v>
      </c>
      <c r="E452" t="s">
        <v>3242</v>
      </c>
      <c r="H452">
        <f t="shared" si="0"/>
        <v>1816</v>
      </c>
    </row>
    <row r="453" spans="1:8">
      <c r="A453" s="31" t="s">
        <v>2827</v>
      </c>
      <c r="B453">
        <v>24</v>
      </c>
      <c r="C453">
        <v>1834</v>
      </c>
      <c r="D453" t="s">
        <v>3601</v>
      </c>
      <c r="E453" t="s">
        <v>2757</v>
      </c>
      <c r="H453">
        <f t="shared" si="0"/>
        <v>1816</v>
      </c>
    </row>
    <row r="454" spans="1:8">
      <c r="A454" s="31" t="s">
        <v>3392</v>
      </c>
      <c r="B454">
        <v>29</v>
      </c>
      <c r="C454">
        <v>1829</v>
      </c>
      <c r="D454" t="s">
        <v>3602</v>
      </c>
      <c r="E454" t="s">
        <v>2897</v>
      </c>
      <c r="H454">
        <f t="shared" si="0"/>
        <v>1816</v>
      </c>
    </row>
    <row r="455" spans="1:8">
      <c r="A455" s="31" t="s">
        <v>2843</v>
      </c>
      <c r="B455">
        <v>43</v>
      </c>
      <c r="C455">
        <v>1815</v>
      </c>
      <c r="D455" t="s">
        <v>3603</v>
      </c>
      <c r="E455" t="s">
        <v>2965</v>
      </c>
      <c r="H455">
        <f t="shared" si="0"/>
        <v>1816</v>
      </c>
    </row>
    <row r="456" spans="1:8">
      <c r="A456" s="31" t="s">
        <v>3604</v>
      </c>
      <c r="B456">
        <v>52</v>
      </c>
      <c r="C456">
        <v>1806</v>
      </c>
      <c r="D456" t="s">
        <v>3605</v>
      </c>
      <c r="E456" t="s">
        <v>2965</v>
      </c>
      <c r="H456">
        <f t="shared" si="0"/>
        <v>1816</v>
      </c>
    </row>
    <row r="457" spans="1:8">
      <c r="A457" s="31" t="s">
        <v>3606</v>
      </c>
      <c r="B457">
        <v>56</v>
      </c>
      <c r="C457">
        <v>1802</v>
      </c>
      <c r="D457" t="s">
        <v>3607</v>
      </c>
      <c r="E457" t="s">
        <v>2752</v>
      </c>
      <c r="H457">
        <f t="shared" si="0"/>
        <v>1816</v>
      </c>
    </row>
    <row r="458" spans="1:8">
      <c r="A458" s="31" t="s">
        <v>3608</v>
      </c>
      <c r="B458">
        <v>50</v>
      </c>
      <c r="C458">
        <v>1808</v>
      </c>
      <c r="D458" t="s">
        <v>3609</v>
      </c>
      <c r="E458" t="s">
        <v>2985</v>
      </c>
      <c r="G458" t="s">
        <v>3877</v>
      </c>
      <c r="H458">
        <f t="shared" si="0"/>
        <v>1816</v>
      </c>
    </row>
    <row r="459" spans="1:8">
      <c r="A459" s="31" t="s">
        <v>3610</v>
      </c>
      <c r="B459">
        <v>53</v>
      </c>
      <c r="C459">
        <v>1805</v>
      </c>
      <c r="D459" t="s">
        <v>3611</v>
      </c>
      <c r="E459" t="s">
        <v>2985</v>
      </c>
      <c r="H459">
        <f t="shared" si="0"/>
        <v>1816</v>
      </c>
    </row>
    <row r="460" spans="1:8">
      <c r="A460" s="31" t="s">
        <v>3400</v>
      </c>
      <c r="B460">
        <v>37</v>
      </c>
      <c r="C460">
        <v>1821</v>
      </c>
      <c r="D460" t="s">
        <v>3612</v>
      </c>
      <c r="E460" t="s">
        <v>2978</v>
      </c>
      <c r="H460">
        <f t="shared" si="0"/>
        <v>1816</v>
      </c>
    </row>
    <row r="461" spans="1:8">
      <c r="A461" s="31" t="s">
        <v>3401</v>
      </c>
      <c r="B461">
        <v>57</v>
      </c>
      <c r="C461">
        <v>1801</v>
      </c>
      <c r="D461" t="s">
        <v>3613</v>
      </c>
      <c r="E461" t="s">
        <v>2978</v>
      </c>
      <c r="H461">
        <f t="shared" si="0"/>
        <v>1816</v>
      </c>
    </row>
    <row r="462" spans="1:8">
      <c r="A462" s="31" t="s">
        <v>3614</v>
      </c>
      <c r="B462">
        <v>31</v>
      </c>
      <c r="C462">
        <v>1827</v>
      </c>
      <c r="D462" t="s">
        <v>3615</v>
      </c>
      <c r="E462" t="s">
        <v>3212</v>
      </c>
      <c r="H462">
        <f t="shared" si="0"/>
        <v>1816</v>
      </c>
    </row>
    <row r="463" spans="1:8">
      <c r="A463" s="31" t="s">
        <v>3616</v>
      </c>
      <c r="B463">
        <v>50</v>
      </c>
      <c r="C463">
        <v>1808</v>
      </c>
      <c r="D463" t="s">
        <v>3617</v>
      </c>
      <c r="E463" t="s">
        <v>3212</v>
      </c>
      <c r="H463">
        <f t="shared" si="0"/>
        <v>1816</v>
      </c>
    </row>
    <row r="464" spans="1:8">
      <c r="A464" s="31" t="s">
        <v>3618</v>
      </c>
      <c r="B464">
        <v>47</v>
      </c>
      <c r="C464">
        <v>1811</v>
      </c>
      <c r="D464" t="s">
        <v>3619</v>
      </c>
      <c r="E464" t="s">
        <v>3212</v>
      </c>
      <c r="H464">
        <f t="shared" si="0"/>
        <v>1816</v>
      </c>
    </row>
    <row r="465" spans="1:8">
      <c r="A465" s="31" t="s">
        <v>3620</v>
      </c>
      <c r="B465">
        <v>56</v>
      </c>
      <c r="C465">
        <v>1802</v>
      </c>
      <c r="D465" t="s">
        <v>3621</v>
      </c>
      <c r="E465" t="s">
        <v>3218</v>
      </c>
      <c r="H465">
        <f t="shared" si="0"/>
        <v>1816</v>
      </c>
    </row>
    <row r="466" spans="1:8">
      <c r="A466" s="31" t="s">
        <v>3408</v>
      </c>
      <c r="B466">
        <v>35</v>
      </c>
      <c r="C466">
        <v>1823</v>
      </c>
      <c r="D466" t="s">
        <v>3622</v>
      </c>
      <c r="E466" t="s">
        <v>3218</v>
      </c>
      <c r="H466">
        <f t="shared" si="0"/>
        <v>1816</v>
      </c>
    </row>
    <row r="467" spans="1:8">
      <c r="A467" s="31" t="s">
        <v>3623</v>
      </c>
      <c r="B467">
        <v>19</v>
      </c>
      <c r="C467">
        <v>1839</v>
      </c>
      <c r="D467" t="s">
        <v>3624</v>
      </c>
      <c r="E467" t="s">
        <v>2978</v>
      </c>
      <c r="H467">
        <f t="shared" si="0"/>
        <v>1816</v>
      </c>
    </row>
    <row r="468" spans="1:8">
      <c r="A468" s="31" t="s">
        <v>3625</v>
      </c>
      <c r="B468">
        <v>30</v>
      </c>
      <c r="C468">
        <v>1828</v>
      </c>
      <c r="D468" t="s">
        <v>3626</v>
      </c>
      <c r="E468" t="s">
        <v>3627</v>
      </c>
      <c r="H468">
        <f t="shared" si="0"/>
        <v>1816</v>
      </c>
    </row>
    <row r="469" spans="1:8">
      <c r="A469" s="31" t="s">
        <v>3410</v>
      </c>
      <c r="B469">
        <v>47</v>
      </c>
      <c r="C469">
        <v>1811</v>
      </c>
      <c r="D469" t="s">
        <v>3628</v>
      </c>
      <c r="E469" t="s">
        <v>3040</v>
      </c>
      <c r="H469">
        <f t="shared" si="0"/>
        <v>1816</v>
      </c>
    </row>
    <row r="470" spans="1:8">
      <c r="A470" s="31" t="s">
        <v>3629</v>
      </c>
      <c r="B470">
        <v>42</v>
      </c>
      <c r="C470">
        <v>1816</v>
      </c>
      <c r="D470" t="s">
        <v>3630</v>
      </c>
      <c r="E470" t="s">
        <v>3040</v>
      </c>
      <c r="H470">
        <f t="shared" si="0"/>
        <v>1816</v>
      </c>
    </row>
    <row r="471" spans="1:8">
      <c r="A471" s="31" t="s">
        <v>2891</v>
      </c>
      <c r="B471">
        <v>26</v>
      </c>
      <c r="C471">
        <v>1832</v>
      </c>
      <c r="D471" t="s">
        <v>3631</v>
      </c>
      <c r="E471" t="s">
        <v>3200</v>
      </c>
      <c r="H471">
        <f t="shared" si="0"/>
        <v>1816</v>
      </c>
    </row>
    <row r="472" spans="1:8">
      <c r="A472" s="31" t="s">
        <v>3632</v>
      </c>
      <c r="B472">
        <v>41</v>
      </c>
      <c r="C472">
        <v>1817</v>
      </c>
      <c r="D472" t="s">
        <v>3633</v>
      </c>
      <c r="E472" t="s">
        <v>3152</v>
      </c>
      <c r="H472">
        <f t="shared" si="0"/>
        <v>1816</v>
      </c>
    </row>
    <row r="473" spans="1:8">
      <c r="A473" s="31" t="s">
        <v>3634</v>
      </c>
      <c r="B473">
        <v>30</v>
      </c>
      <c r="C473">
        <v>1828</v>
      </c>
      <c r="D473" t="s">
        <v>3635</v>
      </c>
      <c r="E473" t="s">
        <v>3152</v>
      </c>
      <c r="H473">
        <f t="shared" si="0"/>
        <v>1816</v>
      </c>
    </row>
    <row r="474" spans="1:8">
      <c r="A474" s="31" t="s">
        <v>2902</v>
      </c>
      <c r="B474">
        <v>28</v>
      </c>
      <c r="C474">
        <v>1830</v>
      </c>
      <c r="D474" t="s">
        <v>3636</v>
      </c>
      <c r="E474" t="s">
        <v>3159</v>
      </c>
      <c r="H474">
        <f t="shared" si="0"/>
        <v>1816</v>
      </c>
    </row>
    <row r="475" spans="1:8">
      <c r="A475" s="31" t="s">
        <v>3637</v>
      </c>
      <c r="B475">
        <v>54</v>
      </c>
      <c r="C475">
        <v>1804</v>
      </c>
      <c r="D475" t="s">
        <v>3638</v>
      </c>
      <c r="E475" t="s">
        <v>3159</v>
      </c>
      <c r="H475">
        <f t="shared" si="0"/>
        <v>1816</v>
      </c>
    </row>
    <row r="476" spans="1:8">
      <c r="A476" s="31" t="s">
        <v>3639</v>
      </c>
      <c r="B476">
        <v>43</v>
      </c>
      <c r="C476">
        <v>1815</v>
      </c>
      <c r="D476" t="s">
        <v>3640</v>
      </c>
      <c r="E476" t="s">
        <v>2978</v>
      </c>
      <c r="H476">
        <f t="shared" si="0"/>
        <v>1816</v>
      </c>
    </row>
    <row r="477" spans="1:8">
      <c r="A477" s="31" t="s">
        <v>3641</v>
      </c>
      <c r="B477">
        <v>42</v>
      </c>
      <c r="C477">
        <v>1816</v>
      </c>
      <c r="D477" t="s">
        <v>3642</v>
      </c>
      <c r="E477" t="s">
        <v>3206</v>
      </c>
      <c r="H477">
        <f t="shared" si="0"/>
        <v>1816</v>
      </c>
    </row>
    <row r="478" spans="1:8">
      <c r="A478" s="31" t="s">
        <v>3423</v>
      </c>
      <c r="B478">
        <v>58</v>
      </c>
      <c r="C478">
        <v>1800</v>
      </c>
      <c r="D478" t="s">
        <v>3643</v>
      </c>
      <c r="E478" t="s">
        <v>3206</v>
      </c>
      <c r="H478">
        <f t="shared" si="0"/>
        <v>1816</v>
      </c>
    </row>
    <row r="479" spans="1:8">
      <c r="A479" s="31" t="s">
        <v>3644</v>
      </c>
      <c r="B479">
        <v>56</v>
      </c>
      <c r="C479">
        <v>1802</v>
      </c>
      <c r="D479" t="s">
        <v>3645</v>
      </c>
      <c r="E479" t="s">
        <v>3206</v>
      </c>
      <c r="H479">
        <f t="shared" si="0"/>
        <v>1816</v>
      </c>
    </row>
    <row r="480" spans="1:8">
      <c r="A480" s="31" t="s">
        <v>2928</v>
      </c>
      <c r="B480">
        <v>30</v>
      </c>
      <c r="C480">
        <v>1828</v>
      </c>
      <c r="D480" t="s">
        <v>3646</v>
      </c>
      <c r="E480" t="s">
        <v>3029</v>
      </c>
      <c r="H480">
        <f t="shared" si="0"/>
        <v>1816</v>
      </c>
    </row>
    <row r="481" spans="1:8">
      <c r="A481" s="31" t="s">
        <v>3647</v>
      </c>
      <c r="B481">
        <v>65</v>
      </c>
      <c r="C481">
        <v>1793</v>
      </c>
      <c r="D481" t="s">
        <v>3648</v>
      </c>
      <c r="E481" t="s">
        <v>3029</v>
      </c>
      <c r="H481">
        <f t="shared" si="0"/>
        <v>1816</v>
      </c>
    </row>
    <row r="482" spans="1:8">
      <c r="A482" s="31" t="s">
        <v>3427</v>
      </c>
      <c r="B482">
        <v>32</v>
      </c>
      <c r="C482">
        <v>1826</v>
      </c>
      <c r="D482" t="s">
        <v>3649</v>
      </c>
      <c r="E482" t="s">
        <v>2969</v>
      </c>
      <c r="H482">
        <f t="shared" si="0"/>
        <v>1816</v>
      </c>
    </row>
    <row r="483" spans="1:8">
      <c r="A483" s="31" t="s">
        <v>3428</v>
      </c>
      <c r="B483">
        <v>46</v>
      </c>
      <c r="C483">
        <v>1812</v>
      </c>
      <c r="D483" t="s">
        <v>3650</v>
      </c>
      <c r="E483" t="s">
        <v>2969</v>
      </c>
      <c r="H483">
        <f t="shared" si="0"/>
        <v>1816</v>
      </c>
    </row>
    <row r="484" spans="1:8">
      <c r="A484" s="31" t="s">
        <v>2946</v>
      </c>
      <c r="B484">
        <v>28</v>
      </c>
      <c r="C484">
        <v>1830</v>
      </c>
      <c r="D484" t="s">
        <v>3651</v>
      </c>
      <c r="E484" t="s">
        <v>2804</v>
      </c>
      <c r="H484">
        <f t="shared" si="0"/>
        <v>1816</v>
      </c>
    </row>
    <row r="485" spans="1:8">
      <c r="A485" s="31" t="s">
        <v>2949</v>
      </c>
      <c r="B485">
        <v>29</v>
      </c>
      <c r="C485">
        <v>1829</v>
      </c>
      <c r="D485" t="s">
        <v>3652</v>
      </c>
      <c r="E485" t="s">
        <v>2746</v>
      </c>
      <c r="H485">
        <f t="shared" si="0"/>
        <v>1816</v>
      </c>
    </row>
    <row r="486" spans="1:8">
      <c r="A486" s="31" t="s">
        <v>3653</v>
      </c>
      <c r="B486">
        <v>79</v>
      </c>
      <c r="C486">
        <v>1779</v>
      </c>
      <c r="D486" t="s">
        <v>3654</v>
      </c>
      <c r="E486" t="s">
        <v>2746</v>
      </c>
      <c r="G486" t="s">
        <v>3877</v>
      </c>
      <c r="H486">
        <f t="shared" si="0"/>
        <v>1816</v>
      </c>
    </row>
    <row r="487" spans="1:8">
      <c r="A487" s="31" t="s">
        <v>3655</v>
      </c>
      <c r="B487">
        <v>53</v>
      </c>
      <c r="C487">
        <v>1805</v>
      </c>
      <c r="D487" t="s">
        <v>3656</v>
      </c>
      <c r="E487" t="s">
        <v>2904</v>
      </c>
      <c r="H487">
        <f t="shared" si="0"/>
        <v>1816</v>
      </c>
    </row>
    <row r="488" spans="1:8">
      <c r="A488" s="31" t="s">
        <v>3431</v>
      </c>
      <c r="B488">
        <v>37</v>
      </c>
      <c r="C488">
        <v>1821</v>
      </c>
      <c r="D488" t="s">
        <v>3657</v>
      </c>
      <c r="E488" t="s">
        <v>2855</v>
      </c>
      <c r="H488">
        <f t="shared" si="0"/>
        <v>1816</v>
      </c>
    </row>
    <row r="489" spans="1:8">
      <c r="A489" s="31" t="s">
        <v>3658</v>
      </c>
      <c r="B489">
        <v>34</v>
      </c>
      <c r="C489">
        <v>1824</v>
      </c>
      <c r="D489" t="s">
        <v>3659</v>
      </c>
      <c r="E489" t="s">
        <v>2855</v>
      </c>
      <c r="H489">
        <f t="shared" si="0"/>
        <v>1816</v>
      </c>
    </row>
    <row r="490" spans="1:8">
      <c r="A490" s="31" t="s">
        <v>3660</v>
      </c>
      <c r="B490">
        <v>30</v>
      </c>
      <c r="C490">
        <v>1828</v>
      </c>
      <c r="D490" t="s">
        <v>3661</v>
      </c>
      <c r="E490" t="s">
        <v>3242</v>
      </c>
      <c r="H490">
        <f t="shared" si="0"/>
        <v>1816</v>
      </c>
    </row>
    <row r="491" spans="1:8">
      <c r="A491" s="31" t="s">
        <v>3662</v>
      </c>
      <c r="B491">
        <v>59</v>
      </c>
      <c r="C491">
        <v>1799</v>
      </c>
      <c r="D491" t="s">
        <v>3663</v>
      </c>
      <c r="E491" t="s">
        <v>3664</v>
      </c>
      <c r="H491">
        <f t="shared" si="0"/>
        <v>1816</v>
      </c>
    </row>
    <row r="492" spans="1:8">
      <c r="A492" s="31" t="s">
        <v>3665</v>
      </c>
      <c r="B492">
        <v>80</v>
      </c>
      <c r="C492">
        <v>1778</v>
      </c>
      <c r="D492" t="s">
        <v>3666</v>
      </c>
      <c r="E492" t="s">
        <v>3029</v>
      </c>
      <c r="G492" t="s">
        <v>3877</v>
      </c>
      <c r="H492">
        <f t="shared" si="0"/>
        <v>1816</v>
      </c>
    </row>
    <row r="493" spans="1:8">
      <c r="A493" s="31" t="s">
        <v>3667</v>
      </c>
      <c r="B493">
        <v>27</v>
      </c>
      <c r="C493">
        <v>1831</v>
      </c>
      <c r="D493" t="s">
        <v>3668</v>
      </c>
      <c r="E493" t="s">
        <v>3035</v>
      </c>
      <c r="H493">
        <f t="shared" si="0"/>
        <v>1816</v>
      </c>
    </row>
    <row r="494" spans="1:8">
      <c r="A494" s="31" t="s">
        <v>3669</v>
      </c>
      <c r="B494">
        <v>30</v>
      </c>
      <c r="C494">
        <v>1828</v>
      </c>
      <c r="D494" t="s">
        <v>3670</v>
      </c>
      <c r="E494" t="s">
        <v>3035</v>
      </c>
      <c r="H494">
        <f t="shared" si="0"/>
        <v>1816</v>
      </c>
    </row>
    <row r="495" spans="1:8">
      <c r="A495" s="31" t="s">
        <v>3671</v>
      </c>
      <c r="B495">
        <v>28</v>
      </c>
      <c r="C495">
        <v>1830</v>
      </c>
      <c r="D495" t="s">
        <v>3672</v>
      </c>
      <c r="E495" t="s">
        <v>3035</v>
      </c>
      <c r="H495">
        <f t="shared" si="0"/>
        <v>1816</v>
      </c>
    </row>
    <row r="496" spans="1:8">
      <c r="A496" s="31" t="s">
        <v>3445</v>
      </c>
      <c r="B496">
        <v>44</v>
      </c>
      <c r="C496">
        <v>1814</v>
      </c>
      <c r="D496" t="s">
        <v>3673</v>
      </c>
      <c r="E496" t="s">
        <v>3040</v>
      </c>
      <c r="H496">
        <f t="shared" si="0"/>
        <v>1816</v>
      </c>
    </row>
    <row r="497" spans="1:8">
      <c r="A497" s="31" t="s">
        <v>3674</v>
      </c>
      <c r="B497">
        <v>38</v>
      </c>
      <c r="C497">
        <v>1820</v>
      </c>
      <c r="D497" t="s">
        <v>3675</v>
      </c>
      <c r="E497" t="s">
        <v>2904</v>
      </c>
      <c r="H497">
        <f t="shared" ref="H497:H560" si="1">1834-18</f>
        <v>1816</v>
      </c>
    </row>
    <row r="498" spans="1:8">
      <c r="A498" s="31" t="s">
        <v>2596</v>
      </c>
      <c r="B498">
        <v>61</v>
      </c>
      <c r="C498">
        <v>1797</v>
      </c>
      <c r="D498" t="s">
        <v>3676</v>
      </c>
      <c r="E498" t="s">
        <v>3677</v>
      </c>
      <c r="H498">
        <f t="shared" si="1"/>
        <v>1816</v>
      </c>
    </row>
    <row r="499" spans="1:8">
      <c r="A499" s="31" t="s">
        <v>3678</v>
      </c>
      <c r="B499">
        <v>61</v>
      </c>
      <c r="C499">
        <v>1797</v>
      </c>
      <c r="D499" t="s">
        <v>3679</v>
      </c>
      <c r="E499" t="s">
        <v>3680</v>
      </c>
      <c r="H499">
        <f t="shared" si="1"/>
        <v>1816</v>
      </c>
    </row>
    <row r="500" spans="1:8">
      <c r="A500" s="31" t="s">
        <v>3681</v>
      </c>
      <c r="B500">
        <v>65</v>
      </c>
      <c r="C500">
        <v>1793</v>
      </c>
      <c r="D500" t="s">
        <v>3680</v>
      </c>
      <c r="E500" t="s">
        <v>3682</v>
      </c>
      <c r="H500">
        <f t="shared" si="1"/>
        <v>1816</v>
      </c>
    </row>
    <row r="501" spans="1:8">
      <c r="A501" s="31" t="s">
        <v>3683</v>
      </c>
      <c r="B501">
        <v>39</v>
      </c>
      <c r="C501">
        <v>1819</v>
      </c>
      <c r="D501" t="s">
        <v>3682</v>
      </c>
      <c r="E501" t="s">
        <v>3684</v>
      </c>
      <c r="H501">
        <f t="shared" si="1"/>
        <v>1816</v>
      </c>
    </row>
    <row r="502" spans="1:8">
      <c r="A502" s="31" t="s">
        <v>3685</v>
      </c>
      <c r="B502">
        <v>40</v>
      </c>
      <c r="C502">
        <v>1818</v>
      </c>
      <c r="D502" t="s">
        <v>3684</v>
      </c>
      <c r="E502" t="s">
        <v>3686</v>
      </c>
      <c r="H502">
        <f t="shared" si="1"/>
        <v>1816</v>
      </c>
    </row>
    <row r="503" spans="1:8">
      <c r="A503" s="31" t="s">
        <v>3687</v>
      </c>
      <c r="B503">
        <v>15</v>
      </c>
      <c r="C503">
        <v>1843</v>
      </c>
      <c r="D503" t="s">
        <v>3686</v>
      </c>
      <c r="E503" t="s">
        <v>3688</v>
      </c>
      <c r="H503">
        <f t="shared" si="1"/>
        <v>1816</v>
      </c>
    </row>
    <row r="504" spans="1:8">
      <c r="A504" s="31" t="s">
        <v>3689</v>
      </c>
      <c r="B504">
        <v>8</v>
      </c>
      <c r="C504">
        <v>1850</v>
      </c>
      <c r="D504" t="s">
        <v>3688</v>
      </c>
      <c r="E504" t="s">
        <v>3690</v>
      </c>
      <c r="G504" t="s">
        <v>3879</v>
      </c>
      <c r="H504">
        <f t="shared" si="1"/>
        <v>1816</v>
      </c>
    </row>
    <row r="505" spans="1:8">
      <c r="A505" s="31" t="s">
        <v>3691</v>
      </c>
      <c r="B505">
        <v>12</v>
      </c>
      <c r="C505">
        <v>1846</v>
      </c>
      <c r="D505" t="s">
        <v>3690</v>
      </c>
      <c r="E505" t="s">
        <v>3692</v>
      </c>
      <c r="H505">
        <f t="shared" si="1"/>
        <v>1816</v>
      </c>
    </row>
    <row r="506" spans="1:8">
      <c r="A506" s="31" t="s">
        <v>3693</v>
      </c>
      <c r="B506">
        <v>9</v>
      </c>
      <c r="C506">
        <v>1849</v>
      </c>
      <c r="D506" t="s">
        <v>3692</v>
      </c>
      <c r="E506" t="s">
        <v>3694</v>
      </c>
      <c r="H506">
        <f t="shared" si="1"/>
        <v>1816</v>
      </c>
    </row>
    <row r="507" spans="1:8">
      <c r="A507" s="31" t="s">
        <v>3695</v>
      </c>
      <c r="B507">
        <v>30</v>
      </c>
      <c r="C507">
        <v>1828</v>
      </c>
      <c r="D507" t="s">
        <v>3694</v>
      </c>
      <c r="E507" t="s">
        <v>3696</v>
      </c>
      <c r="H507">
        <f t="shared" si="1"/>
        <v>1816</v>
      </c>
    </row>
    <row r="508" spans="1:8">
      <c r="A508" s="31" t="s">
        <v>3697</v>
      </c>
      <c r="B508">
        <v>30</v>
      </c>
      <c r="C508">
        <v>1828</v>
      </c>
      <c r="D508" t="s">
        <v>3696</v>
      </c>
      <c r="E508" t="s">
        <v>3698</v>
      </c>
      <c r="H508">
        <f t="shared" si="1"/>
        <v>1816</v>
      </c>
    </row>
    <row r="509" spans="1:8">
      <c r="A509" s="31" t="s">
        <v>3699</v>
      </c>
      <c r="B509">
        <v>5</v>
      </c>
      <c r="C509">
        <v>1853</v>
      </c>
      <c r="D509" t="s">
        <v>3698</v>
      </c>
      <c r="E509" t="s">
        <v>3700</v>
      </c>
      <c r="H509">
        <f t="shared" si="1"/>
        <v>1816</v>
      </c>
    </row>
    <row r="510" spans="1:8">
      <c r="A510" s="31" t="s">
        <v>3701</v>
      </c>
      <c r="B510">
        <v>24</v>
      </c>
      <c r="C510">
        <v>1834</v>
      </c>
      <c r="D510" t="s">
        <v>3702</v>
      </c>
      <c r="E510">
        <v>0</v>
      </c>
      <c r="H510">
        <f t="shared" si="1"/>
        <v>1816</v>
      </c>
    </row>
    <row r="511" spans="1:8">
      <c r="A511" s="31" t="s">
        <v>3703</v>
      </c>
      <c r="B511">
        <v>26</v>
      </c>
      <c r="C511">
        <v>1832</v>
      </c>
      <c r="D511">
        <v>0</v>
      </c>
      <c r="E511" t="s">
        <v>3704</v>
      </c>
      <c r="H511">
        <f t="shared" si="1"/>
        <v>1816</v>
      </c>
    </row>
    <row r="512" spans="1:8">
      <c r="A512" s="31" t="s">
        <v>3705</v>
      </c>
      <c r="B512">
        <v>57</v>
      </c>
      <c r="C512">
        <v>1801</v>
      </c>
      <c r="D512" t="s">
        <v>3706</v>
      </c>
      <c r="E512" t="s">
        <v>3707</v>
      </c>
      <c r="H512">
        <f t="shared" si="1"/>
        <v>1816</v>
      </c>
    </row>
    <row r="513" spans="1:8">
      <c r="A513" s="31" t="s">
        <v>3708</v>
      </c>
      <c r="B513">
        <v>57</v>
      </c>
      <c r="C513">
        <v>1801</v>
      </c>
      <c r="D513" t="s">
        <v>3709</v>
      </c>
      <c r="E513" t="s">
        <v>3710</v>
      </c>
      <c r="H513">
        <f t="shared" si="1"/>
        <v>1816</v>
      </c>
    </row>
    <row r="514" spans="1:8">
      <c r="A514" s="31" t="s">
        <v>3711</v>
      </c>
      <c r="B514">
        <v>26</v>
      </c>
      <c r="C514">
        <v>1832</v>
      </c>
      <c r="D514">
        <v>0</v>
      </c>
      <c r="E514">
        <v>0</v>
      </c>
      <c r="H514">
        <f t="shared" si="1"/>
        <v>1816</v>
      </c>
    </row>
    <row r="515" spans="1:8">
      <c r="A515" s="31" t="s">
        <v>3712</v>
      </c>
      <c r="B515">
        <v>23</v>
      </c>
      <c r="C515">
        <v>1835</v>
      </c>
      <c r="D515" t="s">
        <v>3713</v>
      </c>
      <c r="E515" t="s">
        <v>3714</v>
      </c>
      <c r="H515">
        <f t="shared" si="1"/>
        <v>1816</v>
      </c>
    </row>
    <row r="516" spans="1:8">
      <c r="A516" s="31" t="s">
        <v>3715</v>
      </c>
      <c r="B516">
        <v>22</v>
      </c>
      <c r="C516">
        <v>1836</v>
      </c>
      <c r="D516" t="s">
        <v>3714</v>
      </c>
      <c r="E516" t="s">
        <v>3716</v>
      </c>
      <c r="H516">
        <f t="shared" si="1"/>
        <v>1816</v>
      </c>
    </row>
    <row r="517" spans="1:8">
      <c r="A517" s="31" t="s">
        <v>3717</v>
      </c>
      <c r="B517">
        <v>20</v>
      </c>
      <c r="C517">
        <v>1838</v>
      </c>
      <c r="D517" t="s">
        <v>3716</v>
      </c>
      <c r="E517" t="s">
        <v>3718</v>
      </c>
      <c r="H517">
        <f t="shared" si="1"/>
        <v>1816</v>
      </c>
    </row>
    <row r="518" spans="1:8">
      <c r="A518" s="31" t="s">
        <v>3719</v>
      </c>
      <c r="B518">
        <v>18</v>
      </c>
      <c r="C518">
        <v>1840</v>
      </c>
      <c r="D518" t="s">
        <v>3718</v>
      </c>
      <c r="E518">
        <v>0</v>
      </c>
      <c r="H518">
        <f t="shared" si="1"/>
        <v>1816</v>
      </c>
    </row>
    <row r="519" spans="1:8">
      <c r="A519" s="31" t="s">
        <v>3720</v>
      </c>
      <c r="B519">
        <v>15</v>
      </c>
      <c r="C519">
        <v>1843</v>
      </c>
      <c r="D519">
        <v>0</v>
      </c>
      <c r="E519">
        <v>0</v>
      </c>
      <c r="H519">
        <f t="shared" si="1"/>
        <v>1816</v>
      </c>
    </row>
    <row r="520" spans="1:8">
      <c r="A520" s="31" t="s">
        <v>3450</v>
      </c>
      <c r="B520">
        <v>41</v>
      </c>
      <c r="C520">
        <v>1817</v>
      </c>
      <c r="D520" t="s">
        <v>3721</v>
      </c>
      <c r="E520" t="s">
        <v>3707</v>
      </c>
      <c r="H520">
        <f t="shared" si="1"/>
        <v>1816</v>
      </c>
    </row>
    <row r="521" spans="1:8">
      <c r="A521" s="31" t="s">
        <v>3722</v>
      </c>
      <c r="B521">
        <v>41</v>
      </c>
      <c r="C521">
        <v>1817</v>
      </c>
      <c r="D521" t="s">
        <v>3723</v>
      </c>
      <c r="E521" t="s">
        <v>3724</v>
      </c>
      <c r="H521">
        <f t="shared" si="1"/>
        <v>1816</v>
      </c>
    </row>
    <row r="522" spans="1:8">
      <c r="A522" s="31" t="s">
        <v>3725</v>
      </c>
      <c r="B522">
        <v>80</v>
      </c>
      <c r="C522">
        <v>1778</v>
      </c>
      <c r="D522" t="s">
        <v>3724</v>
      </c>
      <c r="E522" t="s">
        <v>3726</v>
      </c>
      <c r="H522">
        <f t="shared" si="1"/>
        <v>1816</v>
      </c>
    </row>
    <row r="523" spans="1:8">
      <c r="A523" s="31" t="s">
        <v>3727</v>
      </c>
      <c r="B523">
        <v>35</v>
      </c>
      <c r="C523">
        <v>1823</v>
      </c>
      <c r="D523" t="s">
        <v>3726</v>
      </c>
      <c r="E523" t="s">
        <v>3728</v>
      </c>
      <c r="H523">
        <f t="shared" si="1"/>
        <v>1816</v>
      </c>
    </row>
    <row r="524" spans="1:8">
      <c r="A524" s="31" t="s">
        <v>3729</v>
      </c>
      <c r="B524">
        <v>2</v>
      </c>
      <c r="C524">
        <v>1856</v>
      </c>
      <c r="D524" t="s">
        <v>3728</v>
      </c>
      <c r="E524" t="s">
        <v>3730</v>
      </c>
      <c r="H524">
        <f t="shared" si="1"/>
        <v>1816</v>
      </c>
    </row>
    <row r="525" spans="1:8">
      <c r="A525" s="31" t="s">
        <v>3731</v>
      </c>
      <c r="B525">
        <v>1</v>
      </c>
      <c r="C525">
        <v>1857</v>
      </c>
      <c r="D525" t="s">
        <v>3730</v>
      </c>
      <c r="E525">
        <v>0</v>
      </c>
      <c r="H525">
        <f t="shared" si="1"/>
        <v>1816</v>
      </c>
    </row>
    <row r="526" spans="1:8">
      <c r="A526" s="31" t="s">
        <v>3732</v>
      </c>
      <c r="B526">
        <v>7</v>
      </c>
      <c r="C526">
        <v>1851</v>
      </c>
      <c r="D526">
        <v>0</v>
      </c>
      <c r="E526">
        <v>0</v>
      </c>
      <c r="H526">
        <f t="shared" si="1"/>
        <v>1816</v>
      </c>
    </row>
    <row r="527" spans="1:8">
      <c r="A527" s="31" t="s">
        <v>3733</v>
      </c>
      <c r="B527">
        <v>37</v>
      </c>
      <c r="C527">
        <v>1821</v>
      </c>
      <c r="D527" t="s">
        <v>3734</v>
      </c>
      <c r="E527" t="s">
        <v>3735</v>
      </c>
      <c r="H527">
        <f t="shared" si="1"/>
        <v>1816</v>
      </c>
    </row>
    <row r="528" spans="1:8">
      <c r="A528" s="31" t="s">
        <v>3736</v>
      </c>
      <c r="B528">
        <v>37</v>
      </c>
      <c r="C528">
        <v>1821</v>
      </c>
      <c r="D528" t="s">
        <v>3737</v>
      </c>
      <c r="E528" t="s">
        <v>3738</v>
      </c>
      <c r="H528">
        <f t="shared" si="1"/>
        <v>1816</v>
      </c>
    </row>
    <row r="529" spans="1:8">
      <c r="A529" s="31" t="s">
        <v>3739</v>
      </c>
      <c r="B529">
        <v>30</v>
      </c>
      <c r="C529">
        <v>1828</v>
      </c>
      <c r="D529" t="s">
        <v>3738</v>
      </c>
      <c r="E529" t="s">
        <v>3740</v>
      </c>
      <c r="H529">
        <f t="shared" si="1"/>
        <v>1816</v>
      </c>
    </row>
    <row r="530" spans="1:8">
      <c r="A530" s="31" t="s">
        <v>3741</v>
      </c>
      <c r="B530">
        <v>11</v>
      </c>
      <c r="C530">
        <v>1847</v>
      </c>
      <c r="D530" t="s">
        <v>3740</v>
      </c>
      <c r="E530" t="s">
        <v>3742</v>
      </c>
      <c r="H530">
        <f t="shared" si="1"/>
        <v>1816</v>
      </c>
    </row>
    <row r="531" spans="1:8">
      <c r="A531" s="31" t="s">
        <v>3743</v>
      </c>
      <c r="B531">
        <v>18</v>
      </c>
      <c r="C531">
        <v>1840</v>
      </c>
      <c r="D531" t="s">
        <v>3742</v>
      </c>
      <c r="E531">
        <v>0</v>
      </c>
      <c r="H531">
        <f t="shared" si="1"/>
        <v>1816</v>
      </c>
    </row>
    <row r="532" spans="1:8">
      <c r="A532" s="31" t="s">
        <v>3744</v>
      </c>
      <c r="B532">
        <v>54</v>
      </c>
      <c r="C532">
        <v>1804</v>
      </c>
      <c r="D532" t="s">
        <v>3745</v>
      </c>
      <c r="E532" t="s">
        <v>3239</v>
      </c>
      <c r="H532">
        <f t="shared" si="1"/>
        <v>1816</v>
      </c>
    </row>
    <row r="533" spans="1:8">
      <c r="A533" s="31" t="s">
        <v>3004</v>
      </c>
      <c r="B533">
        <v>48</v>
      </c>
      <c r="C533">
        <v>1810</v>
      </c>
      <c r="D533" t="s">
        <v>3746</v>
      </c>
      <c r="E533" t="s">
        <v>3239</v>
      </c>
      <c r="H533">
        <f t="shared" si="1"/>
        <v>1816</v>
      </c>
    </row>
    <row r="534" spans="1:8">
      <c r="A534" s="31" t="s">
        <v>3018</v>
      </c>
      <c r="B534">
        <v>39</v>
      </c>
      <c r="C534">
        <v>1819</v>
      </c>
      <c r="D534" t="s">
        <v>3747</v>
      </c>
      <c r="E534" t="s">
        <v>3627</v>
      </c>
      <c r="H534">
        <f t="shared" si="1"/>
        <v>1816</v>
      </c>
    </row>
    <row r="535" spans="1:8">
      <c r="A535" s="31" t="s">
        <v>3748</v>
      </c>
      <c r="B535">
        <v>42</v>
      </c>
      <c r="C535">
        <v>1816</v>
      </c>
      <c r="D535" t="s">
        <v>3749</v>
      </c>
      <c r="E535" t="s">
        <v>3242</v>
      </c>
      <c r="H535">
        <f t="shared" si="1"/>
        <v>1816</v>
      </c>
    </row>
    <row r="536" spans="1:8">
      <c r="A536" s="31" t="s">
        <v>4974</v>
      </c>
      <c r="B536">
        <v>28</v>
      </c>
      <c r="C536">
        <v>1830</v>
      </c>
      <c r="D536" t="s">
        <v>3750</v>
      </c>
      <c r="E536" t="s">
        <v>3664</v>
      </c>
      <c r="H536">
        <f t="shared" si="1"/>
        <v>1816</v>
      </c>
    </row>
    <row r="537" spans="1:8">
      <c r="A537" s="31" t="s">
        <v>4975</v>
      </c>
      <c r="B537">
        <v>75</v>
      </c>
      <c r="C537">
        <v>1783</v>
      </c>
      <c r="D537" t="s">
        <v>3751</v>
      </c>
      <c r="E537" t="s">
        <v>3664</v>
      </c>
      <c r="H537">
        <f t="shared" si="1"/>
        <v>1816</v>
      </c>
    </row>
    <row r="538" spans="1:8">
      <c r="A538" s="31" t="s">
        <v>4972</v>
      </c>
      <c r="B538">
        <v>46</v>
      </c>
      <c r="C538">
        <v>1812</v>
      </c>
      <c r="D538" t="s">
        <v>3752</v>
      </c>
      <c r="E538" t="s">
        <v>3753</v>
      </c>
      <c r="H538">
        <f t="shared" si="1"/>
        <v>1816</v>
      </c>
    </row>
    <row r="539" spans="1:8">
      <c r="A539" s="31" t="s">
        <v>4973</v>
      </c>
      <c r="B539">
        <v>42</v>
      </c>
      <c r="C539">
        <v>1816</v>
      </c>
      <c r="D539" t="s">
        <v>3754</v>
      </c>
      <c r="E539" t="s">
        <v>3753</v>
      </c>
      <c r="H539">
        <f t="shared" si="1"/>
        <v>1816</v>
      </c>
    </row>
    <row r="540" spans="1:8">
      <c r="A540" s="31" t="s">
        <v>4976</v>
      </c>
      <c r="B540">
        <v>48</v>
      </c>
      <c r="C540">
        <v>1810</v>
      </c>
      <c r="D540" t="s">
        <v>3755</v>
      </c>
      <c r="E540" t="s">
        <v>3753</v>
      </c>
      <c r="G540" t="s">
        <v>3877</v>
      </c>
      <c r="H540">
        <f t="shared" si="1"/>
        <v>1816</v>
      </c>
    </row>
    <row r="541" spans="1:8">
      <c r="A541" s="31" t="s">
        <v>4977</v>
      </c>
      <c r="B541">
        <v>27</v>
      </c>
      <c r="C541">
        <v>1831</v>
      </c>
      <c r="D541" t="s">
        <v>3756</v>
      </c>
      <c r="E541" t="s">
        <v>3753</v>
      </c>
      <c r="H541">
        <f t="shared" si="1"/>
        <v>1816</v>
      </c>
    </row>
    <row r="542" spans="1:8">
      <c r="A542" s="31" t="s">
        <v>4978</v>
      </c>
      <c r="B542">
        <v>34</v>
      </c>
      <c r="C542">
        <v>1824</v>
      </c>
      <c r="D542" t="s">
        <v>3757</v>
      </c>
      <c r="E542" t="s">
        <v>3255</v>
      </c>
      <c r="H542">
        <f t="shared" si="1"/>
        <v>1816</v>
      </c>
    </row>
    <row r="543" spans="1:8">
      <c r="A543" s="31" t="s">
        <v>4979</v>
      </c>
      <c r="B543">
        <v>33</v>
      </c>
      <c r="C543">
        <v>1825</v>
      </c>
      <c r="D543" t="s">
        <v>3758</v>
      </c>
      <c r="E543" t="s">
        <v>2904</v>
      </c>
      <c r="H543">
        <f t="shared" si="1"/>
        <v>1816</v>
      </c>
    </row>
    <row r="544" spans="1:8">
      <c r="A544" s="31" t="s">
        <v>3459</v>
      </c>
      <c r="D544" t="s">
        <v>3759</v>
      </c>
      <c r="E544" t="s">
        <v>3760</v>
      </c>
      <c r="H544">
        <f t="shared" si="1"/>
        <v>1816</v>
      </c>
    </row>
    <row r="545" spans="1:8">
      <c r="A545" s="31" t="s">
        <v>3761</v>
      </c>
      <c r="B545">
        <v>49</v>
      </c>
      <c r="C545">
        <v>1809</v>
      </c>
      <c r="D545" t="s">
        <v>3762</v>
      </c>
      <c r="E545" t="s">
        <v>2752</v>
      </c>
      <c r="G545" t="s">
        <v>3880</v>
      </c>
      <c r="H545">
        <f t="shared" si="1"/>
        <v>1816</v>
      </c>
    </row>
    <row r="546" spans="1:8">
      <c r="A546" s="31" t="s">
        <v>3462</v>
      </c>
      <c r="B546">
        <v>37</v>
      </c>
      <c r="C546">
        <v>1821</v>
      </c>
      <c r="D546" t="s">
        <v>3763</v>
      </c>
      <c r="E546" t="s">
        <v>2757</v>
      </c>
      <c r="H546">
        <f t="shared" si="1"/>
        <v>1816</v>
      </c>
    </row>
    <row r="547" spans="1:8">
      <c r="A547" s="31" t="s">
        <v>3464</v>
      </c>
      <c r="B547">
        <v>41</v>
      </c>
      <c r="C547">
        <v>1817</v>
      </c>
      <c r="D547" t="s">
        <v>3764</v>
      </c>
      <c r="E547" t="s">
        <v>2757</v>
      </c>
      <c r="H547">
        <f t="shared" si="1"/>
        <v>1816</v>
      </c>
    </row>
    <row r="548" spans="1:8">
      <c r="A548" s="31" t="s">
        <v>3466</v>
      </c>
      <c r="B548">
        <v>45</v>
      </c>
      <c r="C548">
        <v>1813</v>
      </c>
      <c r="D548" t="s">
        <v>3765</v>
      </c>
      <c r="E548" t="s">
        <v>3766</v>
      </c>
      <c r="H548">
        <f t="shared" si="1"/>
        <v>1816</v>
      </c>
    </row>
    <row r="549" spans="1:8">
      <c r="A549" s="31" t="s">
        <v>3767</v>
      </c>
      <c r="B549">
        <v>69</v>
      </c>
      <c r="C549">
        <v>1789</v>
      </c>
      <c r="D549" t="s">
        <v>3768</v>
      </c>
      <c r="E549" t="s">
        <v>3239</v>
      </c>
      <c r="H549">
        <f t="shared" si="1"/>
        <v>1816</v>
      </c>
    </row>
    <row r="550" spans="1:8">
      <c r="A550" s="31" t="s">
        <v>3769</v>
      </c>
      <c r="B550">
        <v>31</v>
      </c>
      <c r="C550">
        <v>1827</v>
      </c>
      <c r="D550" t="s">
        <v>3770</v>
      </c>
      <c r="E550" t="s">
        <v>3200</v>
      </c>
      <c r="H550">
        <f t="shared" si="1"/>
        <v>1816</v>
      </c>
    </row>
    <row r="551" spans="1:8">
      <c r="A551" s="31" t="s">
        <v>3771</v>
      </c>
      <c r="B551">
        <v>52</v>
      </c>
      <c r="C551">
        <v>1806</v>
      </c>
      <c r="D551" t="s">
        <v>3772</v>
      </c>
      <c r="E551" t="s">
        <v>3200</v>
      </c>
      <c r="H551">
        <f t="shared" si="1"/>
        <v>1816</v>
      </c>
    </row>
    <row r="552" spans="1:8">
      <c r="A552" s="31" t="s">
        <v>3773</v>
      </c>
      <c r="B552">
        <v>45</v>
      </c>
      <c r="C552">
        <v>1813</v>
      </c>
      <c r="D552" t="s">
        <v>3774</v>
      </c>
      <c r="E552" t="s">
        <v>3200</v>
      </c>
      <c r="H552">
        <f t="shared" si="1"/>
        <v>1816</v>
      </c>
    </row>
    <row r="553" spans="1:8">
      <c r="A553" s="31" t="s">
        <v>3775</v>
      </c>
      <c r="B553">
        <v>50</v>
      </c>
      <c r="C553">
        <v>1808</v>
      </c>
      <c r="D553" t="s">
        <v>3776</v>
      </c>
      <c r="E553" t="s">
        <v>3499</v>
      </c>
      <c r="H553">
        <f t="shared" si="1"/>
        <v>1816</v>
      </c>
    </row>
    <row r="554" spans="1:8">
      <c r="A554" s="31" t="s">
        <v>3777</v>
      </c>
      <c r="B554">
        <v>30</v>
      </c>
      <c r="C554">
        <v>1828</v>
      </c>
      <c r="D554" t="s">
        <v>3778</v>
      </c>
      <c r="E554" t="s">
        <v>3499</v>
      </c>
      <c r="H554">
        <f t="shared" si="1"/>
        <v>1816</v>
      </c>
    </row>
    <row r="555" spans="1:8">
      <c r="A555" s="31" t="s">
        <v>3779</v>
      </c>
      <c r="B555">
        <v>63</v>
      </c>
      <c r="C555">
        <v>1795</v>
      </c>
      <c r="D555" t="s">
        <v>3780</v>
      </c>
      <c r="E555" t="s">
        <v>3499</v>
      </c>
      <c r="H555">
        <f t="shared" si="1"/>
        <v>1816</v>
      </c>
    </row>
    <row r="556" spans="1:8">
      <c r="A556" s="31" t="s">
        <v>3781</v>
      </c>
      <c r="B556">
        <v>34</v>
      </c>
      <c r="C556">
        <v>1824</v>
      </c>
      <c r="D556" t="s">
        <v>3782</v>
      </c>
      <c r="E556" t="s">
        <v>3499</v>
      </c>
      <c r="H556">
        <f t="shared" si="1"/>
        <v>1816</v>
      </c>
    </row>
    <row r="557" spans="1:8">
      <c r="A557" s="31" t="s">
        <v>3783</v>
      </c>
      <c r="B557">
        <v>39</v>
      </c>
      <c r="C557">
        <v>1819</v>
      </c>
      <c r="D557" t="s">
        <v>3626</v>
      </c>
      <c r="E557" t="s">
        <v>3627</v>
      </c>
      <c r="H557">
        <f t="shared" si="1"/>
        <v>1816</v>
      </c>
    </row>
    <row r="558" spans="1:8">
      <c r="A558" s="31" t="s">
        <v>3784</v>
      </c>
      <c r="B558">
        <v>72</v>
      </c>
      <c r="C558">
        <v>1786</v>
      </c>
      <c r="D558" t="s">
        <v>3785</v>
      </c>
      <c r="E558" t="s">
        <v>3159</v>
      </c>
      <c r="H558">
        <f t="shared" si="1"/>
        <v>1816</v>
      </c>
    </row>
    <row r="559" spans="1:8">
      <c r="A559" s="31" t="s">
        <v>3786</v>
      </c>
      <c r="B559">
        <v>63</v>
      </c>
      <c r="C559">
        <v>1795</v>
      </c>
      <c r="D559" t="s">
        <v>3787</v>
      </c>
      <c r="E559" t="s">
        <v>2951</v>
      </c>
      <c r="H559">
        <f t="shared" si="1"/>
        <v>1816</v>
      </c>
    </row>
    <row r="560" spans="1:8">
      <c r="A560" s="31" t="s">
        <v>3788</v>
      </c>
      <c r="B560">
        <v>40</v>
      </c>
      <c r="C560">
        <v>1818</v>
      </c>
      <c r="D560" t="s">
        <v>3789</v>
      </c>
      <c r="E560" t="s">
        <v>2951</v>
      </c>
      <c r="H560">
        <f t="shared" si="1"/>
        <v>1816</v>
      </c>
    </row>
    <row r="561" spans="1:8">
      <c r="A561" s="31" t="s">
        <v>3479</v>
      </c>
      <c r="B561">
        <v>57</v>
      </c>
      <c r="C561">
        <v>1801</v>
      </c>
      <c r="D561" t="s">
        <v>3790</v>
      </c>
      <c r="E561" t="s">
        <v>2951</v>
      </c>
      <c r="H561">
        <f t="shared" ref="H561:H619" si="2">1834-18</f>
        <v>1816</v>
      </c>
    </row>
    <row r="562" spans="1:8">
      <c r="A562" s="31" t="s">
        <v>3791</v>
      </c>
      <c r="B562">
        <v>52</v>
      </c>
      <c r="C562">
        <v>1806</v>
      </c>
      <c r="D562" t="s">
        <v>3792</v>
      </c>
      <c r="E562" t="s">
        <v>2951</v>
      </c>
      <c r="G562" t="s">
        <v>3880</v>
      </c>
      <c r="H562">
        <f t="shared" si="2"/>
        <v>1816</v>
      </c>
    </row>
    <row r="563" spans="1:8">
      <c r="A563" s="31" t="s">
        <v>3793</v>
      </c>
      <c r="B563">
        <v>56</v>
      </c>
      <c r="C563">
        <v>1802</v>
      </c>
      <c r="D563" t="s">
        <v>3794</v>
      </c>
      <c r="E563" t="s">
        <v>2985</v>
      </c>
      <c r="H563">
        <f t="shared" si="2"/>
        <v>1816</v>
      </c>
    </row>
    <row r="564" spans="1:8">
      <c r="A564" s="31" t="s">
        <v>3795</v>
      </c>
      <c r="B564">
        <v>54</v>
      </c>
      <c r="C564">
        <v>1804</v>
      </c>
      <c r="D564" t="s">
        <v>3796</v>
      </c>
      <c r="E564" t="s">
        <v>2995</v>
      </c>
      <c r="H564">
        <f t="shared" si="2"/>
        <v>1816</v>
      </c>
    </row>
    <row r="565" spans="1:8">
      <c r="A565" s="31" t="s">
        <v>3797</v>
      </c>
      <c r="B565">
        <v>31</v>
      </c>
      <c r="C565">
        <v>1827</v>
      </c>
      <c r="D565" t="s">
        <v>3798</v>
      </c>
      <c r="E565" t="s">
        <v>2995</v>
      </c>
      <c r="H565">
        <f t="shared" si="2"/>
        <v>1816</v>
      </c>
    </row>
    <row r="566" spans="1:8">
      <c r="A566" s="31" t="s">
        <v>3799</v>
      </c>
      <c r="B566">
        <v>22</v>
      </c>
      <c r="C566">
        <v>1836</v>
      </c>
      <c r="D566" t="s">
        <v>3800</v>
      </c>
      <c r="E566" t="s">
        <v>2995</v>
      </c>
      <c r="H566">
        <f t="shared" si="2"/>
        <v>1816</v>
      </c>
    </row>
    <row r="567" spans="1:8">
      <c r="A567" s="31" t="s">
        <v>3483</v>
      </c>
      <c r="B567">
        <v>34</v>
      </c>
      <c r="C567">
        <v>1824</v>
      </c>
      <c r="D567" t="s">
        <v>3801</v>
      </c>
      <c r="E567" t="s">
        <v>3588</v>
      </c>
      <c r="H567">
        <f t="shared" si="2"/>
        <v>1816</v>
      </c>
    </row>
    <row r="568" spans="1:8">
      <c r="A568" s="31" t="s">
        <v>3802</v>
      </c>
      <c r="B568">
        <v>45</v>
      </c>
      <c r="C568">
        <v>1813</v>
      </c>
      <c r="D568" t="s">
        <v>3803</v>
      </c>
      <c r="E568" t="s">
        <v>3255</v>
      </c>
      <c r="G568" t="s">
        <v>3877</v>
      </c>
      <c r="H568">
        <f t="shared" si="2"/>
        <v>1816</v>
      </c>
    </row>
    <row r="569" spans="1:8">
      <c r="A569" s="31" t="s">
        <v>3804</v>
      </c>
      <c r="B569">
        <v>19</v>
      </c>
      <c r="C569">
        <v>1839</v>
      </c>
      <c r="D569" t="s">
        <v>3805</v>
      </c>
      <c r="E569" t="s">
        <v>3152</v>
      </c>
      <c r="H569">
        <f t="shared" si="2"/>
        <v>1816</v>
      </c>
    </row>
    <row r="570" spans="1:8">
      <c r="A570" s="31" t="s">
        <v>2152</v>
      </c>
      <c r="B570">
        <v>60</v>
      </c>
      <c r="C570">
        <v>1798</v>
      </c>
      <c r="D570" t="s">
        <v>3806</v>
      </c>
      <c r="E570" t="s">
        <v>2772</v>
      </c>
      <c r="H570">
        <f t="shared" si="2"/>
        <v>1816</v>
      </c>
    </row>
    <row r="571" spans="1:8">
      <c r="A571" s="31" t="s">
        <v>3807</v>
      </c>
      <c r="B571">
        <v>53</v>
      </c>
      <c r="C571">
        <v>1805</v>
      </c>
      <c r="D571" t="s">
        <v>3808</v>
      </c>
      <c r="E571" t="s">
        <v>2772</v>
      </c>
      <c r="H571">
        <f t="shared" si="2"/>
        <v>1816</v>
      </c>
    </row>
    <row r="572" spans="1:8">
      <c r="A572" s="31" t="s">
        <v>3809</v>
      </c>
      <c r="B572">
        <v>61</v>
      </c>
      <c r="C572">
        <v>1797</v>
      </c>
      <c r="D572" t="s">
        <v>3810</v>
      </c>
      <c r="E572" t="s">
        <v>2778</v>
      </c>
      <c r="H572">
        <f t="shared" si="2"/>
        <v>1816</v>
      </c>
    </row>
    <row r="573" spans="1:8">
      <c r="A573" s="31" t="s">
        <v>3811</v>
      </c>
      <c r="B573">
        <v>59</v>
      </c>
      <c r="C573">
        <v>1799</v>
      </c>
      <c r="D573" t="s">
        <v>3812</v>
      </c>
      <c r="E573" t="s">
        <v>2778</v>
      </c>
      <c r="H573">
        <f t="shared" si="2"/>
        <v>1816</v>
      </c>
    </row>
    <row r="574" spans="1:8">
      <c r="A574" s="31" t="s">
        <v>3813</v>
      </c>
      <c r="B574">
        <v>27</v>
      </c>
      <c r="C574">
        <v>1831</v>
      </c>
      <c r="D574" t="s">
        <v>3814</v>
      </c>
      <c r="E574" t="s">
        <v>2778</v>
      </c>
      <c r="H574">
        <f t="shared" si="2"/>
        <v>1816</v>
      </c>
    </row>
    <row r="575" spans="1:8">
      <c r="A575" s="31" t="s">
        <v>3491</v>
      </c>
      <c r="B575">
        <v>36</v>
      </c>
      <c r="C575">
        <v>1822</v>
      </c>
      <c r="D575" t="s">
        <v>3815</v>
      </c>
      <c r="E575" t="s">
        <v>2783</v>
      </c>
      <c r="H575">
        <f t="shared" si="2"/>
        <v>1816</v>
      </c>
    </row>
    <row r="576" spans="1:8">
      <c r="A576" s="31" t="s">
        <v>3816</v>
      </c>
      <c r="B576">
        <v>33</v>
      </c>
      <c r="C576">
        <v>1825</v>
      </c>
      <c r="D576" t="s">
        <v>3817</v>
      </c>
      <c r="E576" t="s">
        <v>2783</v>
      </c>
      <c r="H576">
        <f t="shared" si="2"/>
        <v>1816</v>
      </c>
    </row>
    <row r="577" spans="1:8">
      <c r="A577" s="31" t="s">
        <v>3495</v>
      </c>
      <c r="B577">
        <v>49</v>
      </c>
      <c r="C577">
        <v>1809</v>
      </c>
      <c r="D577" t="s">
        <v>3818</v>
      </c>
      <c r="E577" t="s">
        <v>2783</v>
      </c>
      <c r="H577">
        <f t="shared" si="2"/>
        <v>1816</v>
      </c>
    </row>
    <row r="578" spans="1:8">
      <c r="A578" s="31" t="s">
        <v>3496</v>
      </c>
      <c r="B578">
        <v>51</v>
      </c>
      <c r="C578">
        <v>1807</v>
      </c>
      <c r="D578" t="s">
        <v>3819</v>
      </c>
      <c r="E578" t="s">
        <v>2787</v>
      </c>
      <c r="H578">
        <f t="shared" si="2"/>
        <v>1816</v>
      </c>
    </row>
    <row r="579" spans="1:8">
      <c r="A579" s="31" t="s">
        <v>3820</v>
      </c>
      <c r="B579">
        <v>61</v>
      </c>
      <c r="C579">
        <v>1797</v>
      </c>
      <c r="D579" t="s">
        <v>3821</v>
      </c>
      <c r="E579" t="s">
        <v>2787</v>
      </c>
      <c r="H579">
        <f t="shared" si="2"/>
        <v>1816</v>
      </c>
    </row>
    <row r="580" spans="1:8">
      <c r="A580" s="31" t="s">
        <v>3822</v>
      </c>
      <c r="B580">
        <v>73</v>
      </c>
      <c r="C580">
        <v>1785</v>
      </c>
      <c r="D580" t="s">
        <v>3823</v>
      </c>
      <c r="E580" t="s">
        <v>2787</v>
      </c>
      <c r="G580" t="s">
        <v>3879</v>
      </c>
      <c r="H580">
        <f t="shared" si="2"/>
        <v>1816</v>
      </c>
    </row>
    <row r="581" spans="1:8">
      <c r="A581" s="31" t="s">
        <v>3161</v>
      </c>
      <c r="B581">
        <v>26</v>
      </c>
      <c r="C581">
        <v>1832</v>
      </c>
      <c r="D581" t="s">
        <v>3824</v>
      </c>
      <c r="E581" t="s">
        <v>2793</v>
      </c>
      <c r="H581">
        <f t="shared" si="2"/>
        <v>1816</v>
      </c>
    </row>
    <row r="582" spans="1:8">
      <c r="A582" s="31" t="s">
        <v>3825</v>
      </c>
      <c r="B582">
        <v>23</v>
      </c>
      <c r="C582">
        <v>1835</v>
      </c>
      <c r="D582" t="s">
        <v>3826</v>
      </c>
      <c r="E582" t="s">
        <v>2793</v>
      </c>
      <c r="H582">
        <f t="shared" si="2"/>
        <v>1816</v>
      </c>
    </row>
    <row r="583" spans="1:8">
      <c r="A583" s="31" t="s">
        <v>3502</v>
      </c>
      <c r="B583">
        <v>28</v>
      </c>
      <c r="C583">
        <v>1830</v>
      </c>
      <c r="D583" t="s">
        <v>3827</v>
      </c>
      <c r="E583" t="s">
        <v>2793</v>
      </c>
      <c r="H583">
        <f t="shared" si="2"/>
        <v>1816</v>
      </c>
    </row>
    <row r="584" spans="1:8">
      <c r="A584" s="31" t="s">
        <v>3828</v>
      </c>
      <c r="B584">
        <v>58</v>
      </c>
      <c r="C584">
        <v>1800</v>
      </c>
      <c r="D584" t="s">
        <v>3829</v>
      </c>
      <c r="E584" t="s">
        <v>2793</v>
      </c>
      <c r="H584">
        <f t="shared" si="2"/>
        <v>1816</v>
      </c>
    </row>
    <row r="585" spans="1:8">
      <c r="A585" s="31" t="s">
        <v>3830</v>
      </c>
      <c r="B585">
        <v>53</v>
      </c>
      <c r="C585">
        <v>1805</v>
      </c>
      <c r="D585" t="s">
        <v>3831</v>
      </c>
      <c r="E585" t="s">
        <v>2746</v>
      </c>
      <c r="H585">
        <f t="shared" si="2"/>
        <v>1816</v>
      </c>
    </row>
    <row r="586" spans="1:8">
      <c r="A586" s="31" t="s">
        <v>3832</v>
      </c>
      <c r="D586" t="s">
        <v>3759</v>
      </c>
      <c r="E586" t="s">
        <v>3833</v>
      </c>
      <c r="H586">
        <f t="shared" si="2"/>
        <v>1816</v>
      </c>
    </row>
    <row r="587" spans="1:8">
      <c r="A587" s="31" t="s">
        <v>3176</v>
      </c>
      <c r="B587">
        <v>27</v>
      </c>
      <c r="C587">
        <v>1831</v>
      </c>
      <c r="D587" t="s">
        <v>3834</v>
      </c>
      <c r="E587" t="s">
        <v>2965</v>
      </c>
      <c r="H587">
        <f t="shared" si="2"/>
        <v>1816</v>
      </c>
    </row>
    <row r="588" spans="1:8">
      <c r="A588" s="31" t="s">
        <v>3504</v>
      </c>
      <c r="B588">
        <v>53</v>
      </c>
      <c r="C588">
        <v>1805</v>
      </c>
      <c r="D588" t="s">
        <v>3835</v>
      </c>
      <c r="E588" t="s">
        <v>3242</v>
      </c>
      <c r="H588">
        <f t="shared" si="2"/>
        <v>1816</v>
      </c>
    </row>
    <row r="589" spans="1:8">
      <c r="A589" s="31" t="s">
        <v>3836</v>
      </c>
      <c r="B589">
        <v>55</v>
      </c>
      <c r="C589">
        <v>1803</v>
      </c>
      <c r="D589" t="s">
        <v>3837</v>
      </c>
      <c r="E589" t="s">
        <v>3247</v>
      </c>
      <c r="H589">
        <f t="shared" si="2"/>
        <v>1816</v>
      </c>
    </row>
    <row r="590" spans="1:8">
      <c r="A590" s="31" t="s">
        <v>3838</v>
      </c>
      <c r="B590">
        <v>35</v>
      </c>
      <c r="C590">
        <v>1823</v>
      </c>
      <c r="D590" t="s">
        <v>3839</v>
      </c>
      <c r="E590" t="s">
        <v>3247</v>
      </c>
      <c r="H590">
        <f t="shared" si="2"/>
        <v>1816</v>
      </c>
    </row>
    <row r="591" spans="1:8">
      <c r="A591" s="31" t="s">
        <v>3840</v>
      </c>
      <c r="B591">
        <v>50</v>
      </c>
      <c r="C591">
        <v>1808</v>
      </c>
      <c r="D591" t="s">
        <v>3841</v>
      </c>
      <c r="E591" t="s">
        <v>3255</v>
      </c>
      <c r="H591">
        <f t="shared" si="2"/>
        <v>1816</v>
      </c>
    </row>
    <row r="592" spans="1:8">
      <c r="A592" s="31" t="s">
        <v>3842</v>
      </c>
      <c r="B592">
        <v>19</v>
      </c>
      <c r="C592">
        <v>1839</v>
      </c>
      <c r="D592" t="s">
        <v>3843</v>
      </c>
      <c r="E592" t="s">
        <v>3255</v>
      </c>
      <c r="H592">
        <f t="shared" si="2"/>
        <v>1816</v>
      </c>
    </row>
    <row r="593" spans="1:8">
      <c r="A593" s="31" t="s">
        <v>3844</v>
      </c>
      <c r="B593">
        <v>56</v>
      </c>
      <c r="C593">
        <v>1802</v>
      </c>
      <c r="D593" t="s">
        <v>3845</v>
      </c>
      <c r="E593" t="s">
        <v>2897</v>
      </c>
      <c r="H593">
        <f t="shared" si="2"/>
        <v>1816</v>
      </c>
    </row>
    <row r="594" spans="1:8">
      <c r="A594" s="31" t="s">
        <v>5112</v>
      </c>
      <c r="B594">
        <v>23</v>
      </c>
      <c r="C594">
        <v>1835</v>
      </c>
      <c r="D594" t="s">
        <v>3846</v>
      </c>
      <c r="E594" t="s">
        <v>3040</v>
      </c>
      <c r="G594" t="s">
        <v>3880</v>
      </c>
      <c r="H594">
        <f t="shared" si="2"/>
        <v>1816</v>
      </c>
    </row>
    <row r="595" spans="1:8">
      <c r="A595" s="31" t="s">
        <v>5113</v>
      </c>
      <c r="B595">
        <v>40</v>
      </c>
      <c r="C595">
        <v>1818</v>
      </c>
      <c r="D595" t="s">
        <v>3847</v>
      </c>
      <c r="E595" t="s">
        <v>2845</v>
      </c>
      <c r="H595">
        <f t="shared" si="2"/>
        <v>1816</v>
      </c>
    </row>
    <row r="596" spans="1:8">
      <c r="A596" s="31" t="s">
        <v>5114</v>
      </c>
      <c r="B596">
        <v>37</v>
      </c>
      <c r="C596">
        <v>1821</v>
      </c>
      <c r="D596" t="s">
        <v>3848</v>
      </c>
      <c r="E596" t="s">
        <v>2845</v>
      </c>
      <c r="H596">
        <f t="shared" si="2"/>
        <v>1816</v>
      </c>
    </row>
    <row r="597" spans="1:8">
      <c r="A597" s="31" t="s">
        <v>5115</v>
      </c>
      <c r="B597">
        <v>46</v>
      </c>
      <c r="C597">
        <v>1812</v>
      </c>
      <c r="D597" t="s">
        <v>3849</v>
      </c>
      <c r="E597" t="s">
        <v>2930</v>
      </c>
      <c r="H597">
        <f t="shared" si="2"/>
        <v>1816</v>
      </c>
    </row>
    <row r="598" spans="1:8">
      <c r="A598" s="31" t="s">
        <v>5116</v>
      </c>
      <c r="B598">
        <v>39</v>
      </c>
      <c r="C598">
        <v>1819</v>
      </c>
      <c r="D598" t="s">
        <v>3850</v>
      </c>
      <c r="E598" t="s">
        <v>2930</v>
      </c>
      <c r="H598">
        <f t="shared" si="2"/>
        <v>1816</v>
      </c>
    </row>
    <row r="599" spans="1:8">
      <c r="A599" s="31" t="s">
        <v>5117</v>
      </c>
      <c r="B599">
        <v>38</v>
      </c>
      <c r="C599">
        <v>1820</v>
      </c>
      <c r="D599" t="s">
        <v>3851</v>
      </c>
      <c r="E599" t="s">
        <v>2930</v>
      </c>
      <c r="G599" t="s">
        <v>3881</v>
      </c>
      <c r="H599">
        <f t="shared" si="2"/>
        <v>1816</v>
      </c>
    </row>
    <row r="600" spans="1:8">
      <c r="A600" s="31" t="s">
        <v>5118</v>
      </c>
      <c r="B600">
        <v>53</v>
      </c>
      <c r="C600">
        <v>1805</v>
      </c>
      <c r="D600" t="s">
        <v>3852</v>
      </c>
      <c r="E600" t="s">
        <v>2930</v>
      </c>
      <c r="H600">
        <f t="shared" si="2"/>
        <v>1816</v>
      </c>
    </row>
    <row r="601" spans="1:8">
      <c r="A601" s="31" t="s">
        <v>5119</v>
      </c>
      <c r="B601">
        <v>30</v>
      </c>
      <c r="C601">
        <v>1828</v>
      </c>
      <c r="D601" t="s">
        <v>3853</v>
      </c>
      <c r="E601" t="s">
        <v>2969</v>
      </c>
      <c r="H601">
        <f t="shared" si="2"/>
        <v>1816</v>
      </c>
    </row>
    <row r="602" spans="1:8">
      <c r="A602" s="31" t="s">
        <v>5120</v>
      </c>
      <c r="B602">
        <v>33</v>
      </c>
      <c r="C602">
        <v>1825</v>
      </c>
      <c r="D602" t="s">
        <v>3854</v>
      </c>
      <c r="E602" t="s">
        <v>2904</v>
      </c>
      <c r="H602">
        <f t="shared" si="2"/>
        <v>1816</v>
      </c>
    </row>
    <row r="603" spans="1:8">
      <c r="A603" s="31" t="s">
        <v>3855</v>
      </c>
      <c r="B603">
        <v>76</v>
      </c>
      <c r="C603">
        <v>1782</v>
      </c>
      <c r="D603" t="s">
        <v>3856</v>
      </c>
      <c r="E603" t="s">
        <v>3077</v>
      </c>
      <c r="H603">
        <f t="shared" si="2"/>
        <v>1816</v>
      </c>
    </row>
    <row r="604" spans="1:8">
      <c r="A604" s="31" t="s">
        <v>3857</v>
      </c>
      <c r="B604">
        <v>67</v>
      </c>
      <c r="C604">
        <v>1791</v>
      </c>
      <c r="D604" t="s">
        <v>3858</v>
      </c>
      <c r="E604" t="s">
        <v>3077</v>
      </c>
      <c r="H604">
        <f t="shared" si="2"/>
        <v>1816</v>
      </c>
    </row>
    <row r="605" spans="1:8">
      <c r="A605" s="31" t="s">
        <v>4627</v>
      </c>
      <c r="B605">
        <v>46</v>
      </c>
      <c r="C605">
        <v>1812</v>
      </c>
      <c r="D605" t="s">
        <v>3859</v>
      </c>
      <c r="E605" t="s">
        <v>3125</v>
      </c>
      <c r="H605">
        <f t="shared" si="2"/>
        <v>1816</v>
      </c>
    </row>
    <row r="606" spans="1:8">
      <c r="A606" s="31" t="s">
        <v>4623</v>
      </c>
      <c r="B606">
        <v>43</v>
      </c>
      <c r="C606">
        <v>1815</v>
      </c>
      <c r="D606" t="s">
        <v>3860</v>
      </c>
      <c r="E606" t="s">
        <v>3125</v>
      </c>
      <c r="H606">
        <f t="shared" si="2"/>
        <v>1816</v>
      </c>
    </row>
    <row r="607" spans="1:8">
      <c r="A607" s="31" t="s">
        <v>4624</v>
      </c>
      <c r="B607">
        <v>55</v>
      </c>
      <c r="C607">
        <v>1803</v>
      </c>
      <c r="D607" t="s">
        <v>3861</v>
      </c>
      <c r="E607" t="s">
        <v>3125</v>
      </c>
      <c r="H607">
        <f t="shared" si="2"/>
        <v>1816</v>
      </c>
    </row>
    <row r="608" spans="1:8">
      <c r="A608" s="31" t="s">
        <v>4628</v>
      </c>
      <c r="B608">
        <v>40</v>
      </c>
      <c r="C608">
        <v>1818</v>
      </c>
      <c r="D608" t="s">
        <v>3862</v>
      </c>
      <c r="E608" t="s">
        <v>3135</v>
      </c>
      <c r="H608">
        <f t="shared" si="2"/>
        <v>1816</v>
      </c>
    </row>
    <row r="609" spans="1:8">
      <c r="A609" s="31" t="s">
        <v>4629</v>
      </c>
      <c r="B609">
        <v>26</v>
      </c>
      <c r="C609">
        <v>1832</v>
      </c>
      <c r="D609" t="s">
        <v>3863</v>
      </c>
      <c r="E609" t="s">
        <v>3135</v>
      </c>
      <c r="H609">
        <f t="shared" si="2"/>
        <v>1816</v>
      </c>
    </row>
    <row r="610" spans="1:8">
      <c r="A610" s="31" t="s">
        <v>4630</v>
      </c>
      <c r="B610">
        <v>53</v>
      </c>
      <c r="C610">
        <v>1805</v>
      </c>
      <c r="D610" t="s">
        <v>3864</v>
      </c>
      <c r="E610" t="s">
        <v>3135</v>
      </c>
      <c r="H610">
        <f t="shared" si="2"/>
        <v>1816</v>
      </c>
    </row>
    <row r="611" spans="1:8">
      <c r="A611" s="31" t="s">
        <v>4631</v>
      </c>
      <c r="B611">
        <v>58</v>
      </c>
      <c r="C611">
        <v>1800</v>
      </c>
      <c r="D611" t="s">
        <v>3865</v>
      </c>
      <c r="E611" t="s">
        <v>3145</v>
      </c>
      <c r="H611">
        <f t="shared" si="2"/>
        <v>1816</v>
      </c>
    </row>
    <row r="612" spans="1:8">
      <c r="A612" s="31" t="s">
        <v>4522</v>
      </c>
      <c r="B612">
        <v>27</v>
      </c>
      <c r="C612">
        <v>1831</v>
      </c>
      <c r="D612" t="s">
        <v>3866</v>
      </c>
      <c r="E612" t="s">
        <v>3145</v>
      </c>
      <c r="H612">
        <f t="shared" si="2"/>
        <v>1816</v>
      </c>
    </row>
    <row r="613" spans="1:8">
      <c r="A613" s="31" t="s">
        <v>4621</v>
      </c>
      <c r="B613">
        <v>27</v>
      </c>
      <c r="C613">
        <v>1831</v>
      </c>
      <c r="D613" t="s">
        <v>3867</v>
      </c>
      <c r="E613" t="s">
        <v>3145</v>
      </c>
      <c r="H613">
        <f t="shared" si="2"/>
        <v>1816</v>
      </c>
    </row>
    <row r="614" spans="1:8">
      <c r="A614" s="31" t="s">
        <v>3868</v>
      </c>
      <c r="B614">
        <v>60</v>
      </c>
      <c r="C614">
        <v>1798</v>
      </c>
      <c r="D614" t="s">
        <v>3869</v>
      </c>
      <c r="E614" t="s">
        <v>3152</v>
      </c>
      <c r="H614">
        <f t="shared" si="2"/>
        <v>1816</v>
      </c>
    </row>
    <row r="615" spans="1:8">
      <c r="A615" s="31" t="s">
        <v>3870</v>
      </c>
      <c r="B615">
        <v>16</v>
      </c>
      <c r="C615">
        <v>1842</v>
      </c>
      <c r="D615" t="s">
        <v>3871</v>
      </c>
      <c r="E615" t="s">
        <v>2985</v>
      </c>
      <c r="H615">
        <f t="shared" si="2"/>
        <v>1816</v>
      </c>
    </row>
    <row r="616" spans="1:8">
      <c r="A616" s="31" t="s">
        <v>3522</v>
      </c>
      <c r="B616">
        <v>26</v>
      </c>
      <c r="C616">
        <v>1832</v>
      </c>
      <c r="D616" t="s">
        <v>3872</v>
      </c>
      <c r="E616" t="s">
        <v>2904</v>
      </c>
      <c r="H616">
        <f t="shared" si="2"/>
        <v>1816</v>
      </c>
    </row>
    <row r="617" spans="1:8">
      <c r="A617" s="31" t="s">
        <v>3873</v>
      </c>
      <c r="B617">
        <v>45</v>
      </c>
      <c r="C617">
        <v>1813</v>
      </c>
      <c r="D617" t="s">
        <v>3874</v>
      </c>
      <c r="E617" t="s">
        <v>2969</v>
      </c>
      <c r="H617">
        <f t="shared" si="2"/>
        <v>1816</v>
      </c>
    </row>
    <row r="618" spans="1:8">
      <c r="A618" s="31" t="s">
        <v>3526</v>
      </c>
      <c r="B618">
        <v>53</v>
      </c>
      <c r="C618">
        <v>1805</v>
      </c>
      <c r="D618" t="s">
        <v>3875</v>
      </c>
      <c r="E618" t="s">
        <v>2951</v>
      </c>
      <c r="H618">
        <f t="shared" si="2"/>
        <v>1816</v>
      </c>
    </row>
    <row r="619" spans="1:8">
      <c r="A619" s="31" t="s">
        <v>3527</v>
      </c>
      <c r="B619">
        <v>13</v>
      </c>
      <c r="C619">
        <v>1845</v>
      </c>
      <c r="D619" t="s">
        <v>3876</v>
      </c>
      <c r="E619" t="s">
        <v>2855</v>
      </c>
      <c r="H619">
        <f t="shared" si="2"/>
        <v>1816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3F8-9675-4F90-8382-FD91E05ED106}">
  <sheetPr codeName="Лист5"/>
  <dimension ref="A1:AD1079"/>
  <sheetViews>
    <sheetView tabSelected="1" zoomScale="95" zoomScaleNormal="95" workbookViewId="0">
      <pane ySplit="2" topLeftCell="A3" activePane="bottomLeft" state="frozen"/>
      <selection pane="bottomLeft" activeCell="C19" sqref="C19"/>
    </sheetView>
  </sheetViews>
  <sheetFormatPr defaultRowHeight="15"/>
  <cols>
    <col min="1" max="1" width="38" style="102" bestFit="1" customWidth="1"/>
    <col min="2" max="2" width="10.42578125" style="102" customWidth="1"/>
    <col min="3" max="3" width="35.28515625" style="102" bestFit="1" customWidth="1"/>
    <col min="4" max="4" width="49.5703125" style="102" bestFit="1" customWidth="1"/>
    <col min="5" max="5" width="47.42578125" style="102" bestFit="1" customWidth="1"/>
    <col min="6" max="6" width="60.140625" style="101" bestFit="1" customWidth="1"/>
    <col min="7" max="7" width="10.42578125" style="102" customWidth="1"/>
    <col min="8" max="8" width="28.7109375" style="102" bestFit="1" customWidth="1"/>
    <col min="9" max="9" width="33.42578125" style="102" bestFit="1" customWidth="1"/>
    <col min="10" max="10" width="17.42578125" style="102" customWidth="1"/>
    <col min="11" max="11" width="36.85546875" style="102" customWidth="1"/>
    <col min="12" max="12" width="32.28515625" style="102" bestFit="1" customWidth="1"/>
    <col min="13" max="13" width="34.140625" style="102" bestFit="1" customWidth="1"/>
    <col min="14" max="14" width="33.140625" style="102" bestFit="1" customWidth="1"/>
    <col min="15" max="15" width="31" style="101" bestFit="1" customWidth="1"/>
    <col min="16" max="16" width="9.7109375" style="102" customWidth="1"/>
    <col min="17" max="17" width="39.7109375" style="102" bestFit="1" customWidth="1"/>
    <col min="18" max="18" width="33.5703125" style="101" customWidth="1"/>
    <col min="19" max="19" width="34.85546875" style="120" bestFit="1" customWidth="1"/>
    <col min="20" max="20" width="8.5703125" style="120" customWidth="1"/>
    <col min="21" max="21" width="74.85546875" style="102" bestFit="1" customWidth="1"/>
    <col min="22" max="22" width="44.140625" style="102" bestFit="1" customWidth="1"/>
    <col min="23" max="23" width="46.42578125" style="94" bestFit="1" customWidth="1"/>
    <col min="24" max="24" width="13.140625" style="102" customWidth="1"/>
    <col min="25" max="29" width="9.140625" style="102" customWidth="1"/>
    <col min="30" max="16384" width="9.140625" style="102"/>
  </cols>
  <sheetData>
    <row r="1" spans="1:30" ht="15.75" thickBot="1">
      <c r="A1" s="96" t="s">
        <v>163</v>
      </c>
      <c r="B1" s="96"/>
      <c r="C1" s="96"/>
      <c r="D1" s="96"/>
      <c r="E1" s="96"/>
      <c r="F1" s="97"/>
      <c r="G1" s="103"/>
      <c r="H1" s="96" t="s">
        <v>165</v>
      </c>
      <c r="I1" s="103"/>
      <c r="J1" s="103"/>
      <c r="K1" s="103"/>
      <c r="L1" s="103"/>
      <c r="M1" s="103"/>
      <c r="N1" s="103"/>
      <c r="O1" s="104"/>
      <c r="P1" s="105" t="s">
        <v>164</v>
      </c>
      <c r="Q1" s="106"/>
      <c r="R1" s="107"/>
      <c r="S1" s="96" t="s">
        <v>3295</v>
      </c>
      <c r="T1" s="106"/>
      <c r="U1" s="108" t="s">
        <v>958</v>
      </c>
      <c r="V1" s="109" t="s">
        <v>966</v>
      </c>
      <c r="W1" s="110" t="s">
        <v>2609</v>
      </c>
      <c r="X1" s="102" t="s">
        <v>2655</v>
      </c>
      <c r="AD1" s="102" t="b">
        <v>1</v>
      </c>
    </row>
    <row r="2" spans="1:30" s="98" customFormat="1" ht="15.75" thickBot="1">
      <c r="A2" s="246" t="s">
        <v>2</v>
      </c>
      <c r="B2" s="125" t="s">
        <v>3292</v>
      </c>
      <c r="C2" s="128" t="s">
        <v>4</v>
      </c>
      <c r="D2" s="133" t="s">
        <v>5</v>
      </c>
      <c r="E2" s="128" t="s">
        <v>7</v>
      </c>
      <c r="F2" s="133" t="s">
        <v>9</v>
      </c>
      <c r="G2" s="244" t="s">
        <v>3294</v>
      </c>
      <c r="H2" s="139" t="s">
        <v>153</v>
      </c>
      <c r="I2" s="140" t="s">
        <v>152</v>
      </c>
      <c r="J2" s="141" t="s">
        <v>151</v>
      </c>
      <c r="K2" s="143" t="s">
        <v>19</v>
      </c>
      <c r="L2" s="139" t="s">
        <v>2693</v>
      </c>
      <c r="M2" s="139" t="s">
        <v>2694</v>
      </c>
      <c r="N2" s="139" t="s">
        <v>2695</v>
      </c>
      <c r="O2" s="141" t="s">
        <v>2696</v>
      </c>
      <c r="P2" s="248" t="s">
        <v>0</v>
      </c>
      <c r="Q2" s="148" t="s">
        <v>43</v>
      </c>
      <c r="R2" s="150" t="s">
        <v>2634</v>
      </c>
      <c r="S2" s="151" t="s">
        <v>3296</v>
      </c>
      <c r="T2" s="125" t="s">
        <v>3289</v>
      </c>
      <c r="U2" s="87" t="s">
        <v>183</v>
      </c>
      <c r="V2" s="111"/>
      <c r="W2" s="112" t="s">
        <v>4426</v>
      </c>
      <c r="AD2" s="98" t="b">
        <v>1</v>
      </c>
    </row>
    <row r="3" spans="1:30">
      <c r="A3" s="324" t="s">
        <v>4892</v>
      </c>
      <c r="B3" s="329">
        <v>1860</v>
      </c>
      <c r="C3" s="329" t="s">
        <v>4893</v>
      </c>
      <c r="D3" s="335" t="s">
        <v>4894</v>
      </c>
      <c r="E3" s="324" t="s">
        <v>3304</v>
      </c>
      <c r="F3" s="335" t="s">
        <v>4703</v>
      </c>
      <c r="G3" s="311">
        <v>1879</v>
      </c>
      <c r="H3" s="138" t="s">
        <v>2217</v>
      </c>
      <c r="I3" s="136" t="s">
        <v>4565</v>
      </c>
      <c r="J3" s="144" t="s">
        <v>2707</v>
      </c>
      <c r="K3" s="144" t="s">
        <v>4566</v>
      </c>
      <c r="L3" s="314" t="s">
        <v>2708</v>
      </c>
      <c r="M3" s="314" t="s">
        <v>2709</v>
      </c>
      <c r="N3" s="314" t="s">
        <v>4567</v>
      </c>
      <c r="O3" s="317" t="s">
        <v>4568</v>
      </c>
      <c r="P3" s="147">
        <v>1905</v>
      </c>
      <c r="Q3" s="149" t="s">
        <v>4362</v>
      </c>
      <c r="R3" s="129" t="s">
        <v>4363</v>
      </c>
      <c r="S3" s="152" t="s">
        <v>2724</v>
      </c>
      <c r="T3" s="126">
        <v>1809</v>
      </c>
      <c r="U3" s="113" t="s">
        <v>184</v>
      </c>
      <c r="V3" s="99" t="s">
        <v>964</v>
      </c>
      <c r="W3" s="114" t="s">
        <v>4814</v>
      </c>
      <c r="AD3" s="102" t="b">
        <v>1</v>
      </c>
    </row>
    <row r="4" spans="1:30">
      <c r="A4" s="325" t="s">
        <v>4895</v>
      </c>
      <c r="B4" s="330">
        <v>1860</v>
      </c>
      <c r="C4" s="325" t="s">
        <v>4896</v>
      </c>
      <c r="D4" s="336" t="s">
        <v>4897</v>
      </c>
      <c r="E4" s="325" t="s">
        <v>4218</v>
      </c>
      <c r="F4" s="338" t="s">
        <v>4898</v>
      </c>
      <c r="G4" s="312">
        <v>1901</v>
      </c>
      <c r="H4" s="306" t="s">
        <v>4514</v>
      </c>
      <c r="I4" s="259" t="s">
        <v>4767</v>
      </c>
      <c r="J4" s="313"/>
      <c r="K4" s="271" t="s">
        <v>4769</v>
      </c>
      <c r="L4" s="315" t="s">
        <v>4516</v>
      </c>
      <c r="M4" s="316" t="s">
        <v>4569</v>
      </c>
      <c r="N4" s="316" t="s">
        <v>4724</v>
      </c>
      <c r="O4" s="318" t="s">
        <v>2217</v>
      </c>
      <c r="P4" s="132">
        <v>1905</v>
      </c>
      <c r="Q4" s="137" t="s">
        <v>4346</v>
      </c>
      <c r="R4" s="121" t="s">
        <v>4227</v>
      </c>
      <c r="S4" s="153" t="s">
        <v>2728</v>
      </c>
      <c r="T4" s="127">
        <v>1794</v>
      </c>
      <c r="U4" s="95"/>
      <c r="V4" s="94" t="s">
        <v>188</v>
      </c>
      <c r="W4" s="67" t="s">
        <v>4815</v>
      </c>
      <c r="AD4" s="102" t="b">
        <v>1</v>
      </c>
    </row>
    <row r="5" spans="1:30">
      <c r="A5" s="326" t="s">
        <v>2711</v>
      </c>
      <c r="B5" s="329">
        <v>1860</v>
      </c>
      <c r="C5" s="326" t="s">
        <v>2559</v>
      </c>
      <c r="D5" s="337" t="s">
        <v>2688</v>
      </c>
      <c r="E5" s="326" t="s">
        <v>4219</v>
      </c>
      <c r="F5" s="337" t="s">
        <v>3983</v>
      </c>
      <c r="G5" s="135">
        <v>1903</v>
      </c>
      <c r="H5" s="122" t="s">
        <v>4557</v>
      </c>
      <c r="I5" s="136" t="s">
        <v>4558</v>
      </c>
      <c r="J5" s="142"/>
      <c r="K5" s="145" t="s">
        <v>4570</v>
      </c>
      <c r="L5" s="146" t="s">
        <v>4506</v>
      </c>
      <c r="M5" s="146" t="s">
        <v>2700</v>
      </c>
      <c r="N5" s="341" t="s">
        <v>4571</v>
      </c>
      <c r="O5" s="342" t="s">
        <v>4529</v>
      </c>
      <c r="P5" s="147">
        <v>1905</v>
      </c>
      <c r="Q5" s="138" t="s">
        <v>4364</v>
      </c>
      <c r="R5" s="122" t="s">
        <v>4354</v>
      </c>
      <c r="S5" s="152" t="s">
        <v>2732</v>
      </c>
      <c r="T5" s="126">
        <v>1805</v>
      </c>
      <c r="U5" s="33" t="s">
        <v>185</v>
      </c>
      <c r="V5" s="94" t="s">
        <v>971</v>
      </c>
      <c r="W5" s="67" t="s">
        <v>2610</v>
      </c>
      <c r="AD5" s="102" t="b">
        <v>0</v>
      </c>
    </row>
    <row r="6" spans="1:30">
      <c r="A6" s="325" t="s">
        <v>4220</v>
      </c>
      <c r="B6" s="330">
        <v>1860</v>
      </c>
      <c r="C6" s="325" t="s">
        <v>4221</v>
      </c>
      <c r="D6" s="338" t="s">
        <v>4222</v>
      </c>
      <c r="E6" s="325" t="s">
        <v>4899</v>
      </c>
      <c r="F6" s="338" t="s">
        <v>137</v>
      </c>
      <c r="G6" s="179">
        <v>1881</v>
      </c>
      <c r="H6" s="130" t="s">
        <v>4720</v>
      </c>
      <c r="I6" s="180" t="s">
        <v>3895</v>
      </c>
      <c r="J6" s="181" t="s">
        <v>4770</v>
      </c>
      <c r="K6" s="182" t="s">
        <v>3896</v>
      </c>
      <c r="L6" s="183" t="s">
        <v>3897</v>
      </c>
      <c r="M6" s="183" t="s">
        <v>3898</v>
      </c>
      <c r="N6" s="184" t="s">
        <v>3899</v>
      </c>
      <c r="O6" s="185" t="s">
        <v>1257</v>
      </c>
      <c r="P6" s="132">
        <v>1905</v>
      </c>
      <c r="Q6" s="137" t="s">
        <v>4605</v>
      </c>
      <c r="R6" s="121" t="s">
        <v>4606</v>
      </c>
      <c r="S6" s="153" t="s">
        <v>2736</v>
      </c>
      <c r="T6" s="127">
        <v>1801</v>
      </c>
      <c r="U6" s="95" t="s">
        <v>186</v>
      </c>
      <c r="V6" s="94" t="s">
        <v>974</v>
      </c>
      <c r="W6" s="67" t="s">
        <v>4613</v>
      </c>
    </row>
    <row r="7" spans="1:30">
      <c r="A7" s="326" t="s">
        <v>4223</v>
      </c>
      <c r="B7" s="329">
        <v>1860</v>
      </c>
      <c r="C7" s="326" t="s">
        <v>4224</v>
      </c>
      <c r="D7" s="337" t="s">
        <v>4225</v>
      </c>
      <c r="E7" s="326" t="s">
        <v>142</v>
      </c>
      <c r="F7" s="337" t="s">
        <v>3305</v>
      </c>
      <c r="G7" s="186">
        <v>1901</v>
      </c>
      <c r="H7" s="126" t="s">
        <v>3902</v>
      </c>
      <c r="I7" s="152" t="s">
        <v>4324</v>
      </c>
      <c r="J7" s="126"/>
      <c r="K7" s="152" t="s">
        <v>4240</v>
      </c>
      <c r="L7" s="187" t="s">
        <v>3903</v>
      </c>
      <c r="M7" s="187" t="s">
        <v>3904</v>
      </c>
      <c r="N7" s="126" t="s">
        <v>3905</v>
      </c>
      <c r="O7" s="126" t="s">
        <v>4325</v>
      </c>
      <c r="P7" s="147">
        <v>1905</v>
      </c>
      <c r="Q7" s="138" t="s">
        <v>4607</v>
      </c>
      <c r="R7" s="122" t="s">
        <v>4581</v>
      </c>
      <c r="S7" s="152" t="s">
        <v>2739</v>
      </c>
      <c r="T7" s="126">
        <v>1828</v>
      </c>
      <c r="U7" s="95" t="s">
        <v>187</v>
      </c>
      <c r="V7" s="94" t="s">
        <v>190</v>
      </c>
      <c r="W7" s="67" t="s">
        <v>4632</v>
      </c>
      <c r="X7" s="117"/>
    </row>
    <row r="8" spans="1:30">
      <c r="A8" s="325" t="s">
        <v>4494</v>
      </c>
      <c r="B8" s="330">
        <v>1860</v>
      </c>
      <c r="C8" s="325" t="s">
        <v>4495</v>
      </c>
      <c r="D8" s="338" t="s">
        <v>4496</v>
      </c>
      <c r="E8" s="325" t="s">
        <v>3938</v>
      </c>
      <c r="F8" s="338" t="s">
        <v>146</v>
      </c>
      <c r="G8" s="179">
        <v>1901</v>
      </c>
      <c r="H8" s="127" t="s">
        <v>3912</v>
      </c>
      <c r="I8" s="153" t="s">
        <v>4326</v>
      </c>
      <c r="J8" s="127"/>
      <c r="K8" s="153" t="s">
        <v>4327</v>
      </c>
      <c r="L8" s="183" t="s">
        <v>3915</v>
      </c>
      <c r="M8" s="183" t="s">
        <v>3916</v>
      </c>
      <c r="N8" s="127" t="s">
        <v>4328</v>
      </c>
      <c r="O8" s="127" t="s">
        <v>4329</v>
      </c>
      <c r="P8" s="132">
        <v>1905</v>
      </c>
      <c r="Q8" s="137" t="s">
        <v>4730</v>
      </c>
      <c r="R8" s="121" t="s">
        <v>4731</v>
      </c>
      <c r="S8" s="153" t="s">
        <v>971</v>
      </c>
      <c r="T8" s="127">
        <v>1787</v>
      </c>
      <c r="U8" s="95" t="s">
        <v>188</v>
      </c>
      <c r="V8" s="94" t="s">
        <v>191</v>
      </c>
      <c r="W8" s="67" t="s">
        <v>4513</v>
      </c>
      <c r="X8" s="117" t="str" cm="1">
        <f t="array" ref="X8">ADDRESS(SUMPRODUCT((W8=$A$2:$T$100)*ROW($A$2:$T$100)),SUMPRODUCT((W8=$A$2:$T$100)*COLUMN($A$2:$T$100)),4)</f>
        <v>A30</v>
      </c>
    </row>
    <row r="9" spans="1:30">
      <c r="A9" s="326" t="s">
        <v>4704</v>
      </c>
      <c r="B9" s="329">
        <v>1860</v>
      </c>
      <c r="C9" s="326" t="s">
        <v>4705</v>
      </c>
      <c r="D9" s="337" t="s">
        <v>4706</v>
      </c>
      <c r="E9" s="326" t="s">
        <v>160</v>
      </c>
      <c r="F9" s="337" t="s">
        <v>161</v>
      </c>
      <c r="G9" s="186">
        <v>1901</v>
      </c>
      <c r="H9" s="126" t="s">
        <v>4330</v>
      </c>
      <c r="I9" s="152" t="s">
        <v>3918</v>
      </c>
      <c r="J9" s="126" t="s">
        <v>4331</v>
      </c>
      <c r="K9" s="152" t="s">
        <v>3919</v>
      </c>
      <c r="L9" s="187" t="s">
        <v>4332</v>
      </c>
      <c r="M9" s="187" t="s">
        <v>3920</v>
      </c>
      <c r="N9" s="126" t="s">
        <v>3921</v>
      </c>
      <c r="O9" s="126" t="s">
        <v>3922</v>
      </c>
      <c r="P9" s="147">
        <v>1905</v>
      </c>
      <c r="Q9" s="138" t="s">
        <v>4608</v>
      </c>
      <c r="R9" s="122" t="s">
        <v>4569</v>
      </c>
      <c r="S9" s="152" t="s">
        <v>4304</v>
      </c>
      <c r="T9" s="126">
        <v>1807</v>
      </c>
      <c r="U9" s="95" t="s">
        <v>189</v>
      </c>
      <c r="V9" s="94" t="s">
        <v>979</v>
      </c>
      <c r="W9" s="67" t="s">
        <v>77</v>
      </c>
      <c r="X9" s="117"/>
    </row>
    <row r="10" spans="1:30">
      <c r="A10" s="325" t="s">
        <v>4497</v>
      </c>
      <c r="B10" s="331">
        <v>1879</v>
      </c>
      <c r="C10" s="325" t="s">
        <v>4498</v>
      </c>
      <c r="D10" s="338" t="s">
        <v>4499</v>
      </c>
      <c r="E10" s="325" t="s">
        <v>4500</v>
      </c>
      <c r="F10" s="338" t="s">
        <v>3311</v>
      </c>
      <c r="G10" s="179">
        <v>1901</v>
      </c>
      <c r="H10" s="127" t="s">
        <v>4325</v>
      </c>
      <c r="I10" s="153" t="s">
        <v>4925</v>
      </c>
      <c r="J10" s="127"/>
      <c r="K10" s="153" t="s">
        <v>4926</v>
      </c>
      <c r="L10" s="239" t="s">
        <v>4308</v>
      </c>
      <c r="M10" s="183" t="s">
        <v>4256</v>
      </c>
      <c r="N10" s="240" t="s">
        <v>4309</v>
      </c>
      <c r="O10" s="127" t="s">
        <v>4927</v>
      </c>
      <c r="P10" s="132">
        <v>1905</v>
      </c>
      <c r="Q10" s="137" t="s">
        <v>4790</v>
      </c>
      <c r="R10" s="121"/>
      <c r="S10" s="153" t="s">
        <v>4376</v>
      </c>
      <c r="T10" s="127">
        <v>1814</v>
      </c>
      <c r="U10" s="95" t="s">
        <v>190</v>
      </c>
      <c r="V10" s="94" t="s">
        <v>192</v>
      </c>
      <c r="W10" s="67" t="s">
        <v>4348</v>
      </c>
    </row>
    <row r="11" spans="1:30">
      <c r="A11" s="326" t="s">
        <v>2542</v>
      </c>
      <c r="B11" s="329">
        <v>1882</v>
      </c>
      <c r="C11" s="326" t="s">
        <v>62</v>
      </c>
      <c r="D11" s="337" t="s">
        <v>2679</v>
      </c>
      <c r="E11" s="326" t="s">
        <v>4707</v>
      </c>
      <c r="F11" s="337"/>
      <c r="G11" s="186">
        <v>1901</v>
      </c>
      <c r="H11" s="126" t="s">
        <v>3925</v>
      </c>
      <c r="I11" s="152" t="s">
        <v>4572</v>
      </c>
      <c r="J11" s="126"/>
      <c r="K11" s="152" t="s">
        <v>4573</v>
      </c>
      <c r="L11" s="187" t="s">
        <v>5092</v>
      </c>
      <c r="M11" s="187" t="s">
        <v>4771</v>
      </c>
      <c r="N11" s="126" t="s">
        <v>3926</v>
      </c>
      <c r="O11" s="126" t="s">
        <v>4574</v>
      </c>
      <c r="P11" s="147">
        <v>1905</v>
      </c>
      <c r="Q11" s="138" t="s">
        <v>4365</v>
      </c>
      <c r="R11" s="122" t="s">
        <v>4240</v>
      </c>
      <c r="S11" s="152" t="s">
        <v>4377</v>
      </c>
      <c r="T11" s="126">
        <v>1795</v>
      </c>
      <c r="U11" s="95" t="s">
        <v>191</v>
      </c>
      <c r="V11" s="94" t="s">
        <v>194</v>
      </c>
      <c r="W11" s="67" t="s">
        <v>4427</v>
      </c>
    </row>
    <row r="12" spans="1:30">
      <c r="A12" s="325" t="s">
        <v>4226</v>
      </c>
      <c r="B12" s="330">
        <v>1882</v>
      </c>
      <c r="C12" s="325" t="s">
        <v>4227</v>
      </c>
      <c r="D12" s="338" t="s">
        <v>4228</v>
      </c>
      <c r="E12" s="325" t="s">
        <v>2680</v>
      </c>
      <c r="F12" s="338" t="s">
        <v>4229</v>
      </c>
      <c r="G12" s="179">
        <v>1901</v>
      </c>
      <c r="H12" s="127" t="s">
        <v>3928</v>
      </c>
      <c r="I12" s="153" t="s">
        <v>4300</v>
      </c>
      <c r="J12" s="127"/>
      <c r="K12" s="153" t="s">
        <v>4301</v>
      </c>
      <c r="L12" s="183" t="s">
        <v>3929</v>
      </c>
      <c r="M12" s="183" t="s">
        <v>3930</v>
      </c>
      <c r="N12" s="127" t="s">
        <v>3931</v>
      </c>
      <c r="O12" s="127" t="s">
        <v>3932</v>
      </c>
      <c r="P12" s="132">
        <v>1905</v>
      </c>
      <c r="Q12" s="137" t="s">
        <v>4366</v>
      </c>
      <c r="R12" s="121" t="s">
        <v>4240</v>
      </c>
      <c r="S12" s="153" t="s">
        <v>4378</v>
      </c>
      <c r="T12" s="127">
        <v>1790</v>
      </c>
      <c r="U12" s="95" t="s">
        <v>191</v>
      </c>
      <c r="V12" s="94" t="s">
        <v>983</v>
      </c>
      <c r="W12" s="67" t="s">
        <v>4308</v>
      </c>
      <c r="X12" s="117"/>
    </row>
    <row r="13" spans="1:30">
      <c r="A13" s="326" t="s">
        <v>2539</v>
      </c>
      <c r="B13" s="329">
        <v>1882</v>
      </c>
      <c r="C13" s="326" t="s">
        <v>69</v>
      </c>
      <c r="D13" s="337" t="s">
        <v>2681</v>
      </c>
      <c r="E13" s="326" t="s">
        <v>2682</v>
      </c>
      <c r="F13" s="337" t="s">
        <v>4708</v>
      </c>
      <c r="G13" s="186">
        <v>1902</v>
      </c>
      <c r="H13" s="126" t="s">
        <v>4252</v>
      </c>
      <c r="I13" s="152" t="s">
        <v>3939</v>
      </c>
      <c r="J13" s="126" t="s">
        <v>4333</v>
      </c>
      <c r="K13" s="152" t="s">
        <v>3940</v>
      </c>
      <c r="L13" s="187" t="s">
        <v>4288</v>
      </c>
      <c r="M13" s="187" t="s">
        <v>4263</v>
      </c>
      <c r="N13" s="126" t="s">
        <v>1306</v>
      </c>
      <c r="O13" s="126" t="s">
        <v>4334</v>
      </c>
      <c r="P13" s="147">
        <v>1905</v>
      </c>
      <c r="Q13" s="138" t="s">
        <v>4367</v>
      </c>
      <c r="R13" s="122" t="s">
        <v>4327</v>
      </c>
      <c r="S13" s="152" t="s">
        <v>4379</v>
      </c>
      <c r="T13" s="126">
        <v>1799</v>
      </c>
      <c r="U13" s="95" t="s">
        <v>192</v>
      </c>
      <c r="V13" s="94" t="s">
        <v>197</v>
      </c>
      <c r="W13" s="67" t="s">
        <v>4428</v>
      </c>
    </row>
    <row r="14" spans="1:30">
      <c r="A14" s="325" t="s">
        <v>4230</v>
      </c>
      <c r="B14" s="330">
        <v>1882</v>
      </c>
      <c r="C14" s="333" t="s">
        <v>4231</v>
      </c>
      <c r="D14" s="338" t="s">
        <v>73</v>
      </c>
      <c r="E14" s="325" t="s">
        <v>4232</v>
      </c>
      <c r="F14" s="338" t="s">
        <v>75</v>
      </c>
      <c r="G14" s="179">
        <v>1904</v>
      </c>
      <c r="H14" s="127" t="s">
        <v>4575</v>
      </c>
      <c r="I14" s="153" t="s">
        <v>3949</v>
      </c>
      <c r="J14" s="127" t="s">
        <v>4576</v>
      </c>
      <c r="K14" s="153" t="s">
        <v>3950</v>
      </c>
      <c r="L14" s="183" t="s">
        <v>3946</v>
      </c>
      <c r="M14" s="183" t="s">
        <v>3947</v>
      </c>
      <c r="N14" s="127" t="s">
        <v>3948</v>
      </c>
      <c r="O14" s="127"/>
      <c r="P14" s="132">
        <v>1905</v>
      </c>
      <c r="Q14" s="137" t="s">
        <v>4368</v>
      </c>
      <c r="R14" s="121" t="s">
        <v>4328</v>
      </c>
      <c r="S14" s="153" t="s">
        <v>4380</v>
      </c>
      <c r="T14" s="127">
        <v>1819</v>
      </c>
      <c r="U14" s="95" t="s">
        <v>193</v>
      </c>
      <c r="V14" s="94" t="s">
        <v>198</v>
      </c>
      <c r="W14" s="67" t="s">
        <v>4248</v>
      </c>
      <c r="X14" s="117"/>
    </row>
    <row r="15" spans="1:30">
      <c r="A15" s="326" t="s">
        <v>4900</v>
      </c>
      <c r="B15" s="329">
        <v>1882</v>
      </c>
      <c r="C15" s="326" t="s">
        <v>4901</v>
      </c>
      <c r="D15" s="337" t="s">
        <v>4902</v>
      </c>
      <c r="E15" s="334" t="s">
        <v>4233</v>
      </c>
      <c r="F15" s="337" t="s">
        <v>81</v>
      </c>
      <c r="G15" s="186">
        <v>1904</v>
      </c>
      <c r="H15" s="267" t="s">
        <v>3951</v>
      </c>
      <c r="I15" s="269" t="s">
        <v>4315</v>
      </c>
      <c r="J15" s="126" t="s">
        <v>3952</v>
      </c>
      <c r="K15" s="272" t="s">
        <v>4309</v>
      </c>
      <c r="L15" s="187" t="s">
        <v>3953</v>
      </c>
      <c r="M15" s="187" t="s">
        <v>3954</v>
      </c>
      <c r="N15" s="273" t="s">
        <v>4308</v>
      </c>
      <c r="O15" s="126"/>
      <c r="P15" s="147">
        <v>1905</v>
      </c>
      <c r="Q15" s="138" t="s">
        <v>4369</v>
      </c>
      <c r="R15" s="122" t="s">
        <v>4256</v>
      </c>
      <c r="S15" s="152" t="s">
        <v>4381</v>
      </c>
      <c r="T15" s="126">
        <v>1800</v>
      </c>
      <c r="U15" s="95" t="s">
        <v>194</v>
      </c>
      <c r="V15" s="94" t="s">
        <v>988</v>
      </c>
      <c r="W15" s="67" t="s">
        <v>4429</v>
      </c>
    </row>
    <row r="16" spans="1:30">
      <c r="A16" s="325" t="s">
        <v>4234</v>
      </c>
      <c r="B16" s="330">
        <v>1882</v>
      </c>
      <c r="C16" s="325" t="s">
        <v>4235</v>
      </c>
      <c r="D16" s="338" t="s">
        <v>4236</v>
      </c>
      <c r="E16" s="325" t="s">
        <v>84</v>
      </c>
      <c r="F16" s="338" t="s">
        <v>4237</v>
      </c>
      <c r="G16" s="179">
        <v>1904</v>
      </c>
      <c r="H16" s="127" t="s">
        <v>4726</v>
      </c>
      <c r="I16" s="153" t="s">
        <v>4928</v>
      </c>
      <c r="J16" s="127"/>
      <c r="K16" s="153" t="s">
        <v>4929</v>
      </c>
      <c r="L16" s="183" t="s">
        <v>3956</v>
      </c>
      <c r="M16" s="183" t="s">
        <v>4763</v>
      </c>
      <c r="N16" s="127" t="s">
        <v>3957</v>
      </c>
      <c r="O16" s="127"/>
      <c r="P16" s="132">
        <v>1905</v>
      </c>
      <c r="Q16" s="137" t="s">
        <v>4532</v>
      </c>
      <c r="R16" s="121" t="s">
        <v>4533</v>
      </c>
      <c r="S16" s="162" t="s">
        <v>4323</v>
      </c>
      <c r="T16" s="159">
        <v>1835</v>
      </c>
      <c r="U16" s="95" t="s">
        <v>195</v>
      </c>
      <c r="V16" s="94" t="s">
        <v>990</v>
      </c>
      <c r="W16" s="67" t="s">
        <v>4816</v>
      </c>
    </row>
    <row r="17" spans="1:24">
      <c r="A17" s="326" t="s">
        <v>4501</v>
      </c>
      <c r="B17" s="329">
        <v>1882</v>
      </c>
      <c r="C17" s="326" t="s">
        <v>4498</v>
      </c>
      <c r="D17" s="337" t="s">
        <v>4499</v>
      </c>
      <c r="E17" s="326" t="s">
        <v>4502</v>
      </c>
      <c r="F17" s="337" t="s">
        <v>88</v>
      </c>
      <c r="G17" s="186">
        <v>1904</v>
      </c>
      <c r="H17" s="126" t="s">
        <v>4577</v>
      </c>
      <c r="I17" s="152" t="s">
        <v>3960</v>
      </c>
      <c r="J17" s="126" t="s">
        <v>4578</v>
      </c>
      <c r="K17" s="152"/>
      <c r="L17" s="187" t="s">
        <v>4527</v>
      </c>
      <c r="M17" s="187" t="s">
        <v>4516</v>
      </c>
      <c r="N17" s="126" t="s">
        <v>2700</v>
      </c>
      <c r="O17" s="126" t="s">
        <v>3961</v>
      </c>
      <c r="P17" s="147">
        <v>1905</v>
      </c>
      <c r="Q17" s="138" t="s">
        <v>4370</v>
      </c>
      <c r="R17" s="122" t="s">
        <v>4253</v>
      </c>
      <c r="S17" s="162" t="s">
        <v>4309</v>
      </c>
      <c r="T17" s="160">
        <v>1857</v>
      </c>
      <c r="U17" s="95" t="s">
        <v>196</v>
      </c>
      <c r="V17" s="94" t="s">
        <v>992</v>
      </c>
      <c r="W17" s="67" t="s">
        <v>4817</v>
      </c>
    </row>
    <row r="18" spans="1:24">
      <c r="A18" s="325" t="s">
        <v>4503</v>
      </c>
      <c r="B18" s="330">
        <v>1882</v>
      </c>
      <c r="C18" s="325" t="s">
        <v>4504</v>
      </c>
      <c r="D18" s="338" t="s">
        <v>4505</v>
      </c>
      <c r="E18" s="325" t="s">
        <v>3307</v>
      </c>
      <c r="F18" s="338" t="s">
        <v>91</v>
      </c>
      <c r="G18" s="179">
        <v>1904</v>
      </c>
      <c r="H18" s="127" t="s">
        <v>4336</v>
      </c>
      <c r="I18" s="153" t="s">
        <v>3962</v>
      </c>
      <c r="J18" s="127" t="s">
        <v>4337</v>
      </c>
      <c r="K18" s="153"/>
      <c r="L18" s="183" t="s">
        <v>4338</v>
      </c>
      <c r="M18" s="183" t="s">
        <v>3963</v>
      </c>
      <c r="N18" s="127" t="s">
        <v>3965</v>
      </c>
      <c r="O18" s="127" t="s">
        <v>3966</v>
      </c>
      <c r="P18" s="132">
        <v>1905</v>
      </c>
      <c r="Q18" s="137" t="s">
        <v>4791</v>
      </c>
      <c r="R18" s="121" t="s">
        <v>4717</v>
      </c>
      <c r="S18" s="162" t="s">
        <v>4382</v>
      </c>
      <c r="T18" s="160">
        <v>1837</v>
      </c>
      <c r="U18" s="95" t="s">
        <v>197</v>
      </c>
      <c r="V18" s="94" t="s">
        <v>199</v>
      </c>
      <c r="W18" s="67" t="s">
        <v>4818</v>
      </c>
    </row>
    <row r="19" spans="1:24">
      <c r="A19" s="326" t="s">
        <v>2543</v>
      </c>
      <c r="B19" s="329">
        <v>1882</v>
      </c>
      <c r="C19" s="326" t="s">
        <v>2554</v>
      </c>
      <c r="D19" s="337" t="s">
        <v>2684</v>
      </c>
      <c r="E19" s="326" t="s">
        <v>4506</v>
      </c>
      <c r="F19" s="337" t="s">
        <v>4710</v>
      </c>
      <c r="G19" s="186">
        <v>1904</v>
      </c>
      <c r="H19" s="126" t="s">
        <v>3968</v>
      </c>
      <c r="I19" s="152" t="s">
        <v>4773</v>
      </c>
      <c r="J19" s="126" t="s">
        <v>3969</v>
      </c>
      <c r="K19" s="152" t="s">
        <v>4774</v>
      </c>
      <c r="L19" s="187" t="s">
        <v>3970</v>
      </c>
      <c r="M19" s="187" t="s">
        <v>3971</v>
      </c>
      <c r="N19" s="126" t="s">
        <v>4775</v>
      </c>
      <c r="O19" s="126" t="s">
        <v>3972</v>
      </c>
      <c r="P19" s="147">
        <v>1905</v>
      </c>
      <c r="Q19" s="138" t="s">
        <v>4609</v>
      </c>
      <c r="R19" s="122" t="s">
        <v>4581</v>
      </c>
      <c r="S19" s="162" t="s">
        <v>4383</v>
      </c>
      <c r="T19" s="160">
        <v>1810</v>
      </c>
      <c r="U19" s="95" t="s">
        <v>198</v>
      </c>
      <c r="V19" s="94"/>
      <c r="W19" s="67" t="s">
        <v>4819</v>
      </c>
    </row>
    <row r="20" spans="1:24">
      <c r="A20" s="325" t="s">
        <v>4711</v>
      </c>
      <c r="B20" s="330">
        <v>1882</v>
      </c>
      <c r="C20" s="325" t="s">
        <v>4712</v>
      </c>
      <c r="D20" s="338" t="s">
        <v>4713</v>
      </c>
      <c r="E20" s="325" t="s">
        <v>97</v>
      </c>
      <c r="F20" s="338" t="s">
        <v>4714</v>
      </c>
      <c r="G20" s="179">
        <v>1904</v>
      </c>
      <c r="H20" s="127" t="s">
        <v>5088</v>
      </c>
      <c r="I20" s="153" t="s">
        <v>4339</v>
      </c>
      <c r="J20" s="127" t="s">
        <v>5093</v>
      </c>
      <c r="K20" s="153" t="s">
        <v>4340</v>
      </c>
      <c r="L20" s="183" t="s">
        <v>3973</v>
      </c>
      <c r="M20" s="183" t="s">
        <v>3974</v>
      </c>
      <c r="N20" s="127" t="s">
        <v>4022</v>
      </c>
      <c r="O20" s="127" t="s">
        <v>3975</v>
      </c>
      <c r="P20" s="132">
        <v>1905</v>
      </c>
      <c r="Q20" s="137" t="s">
        <v>4610</v>
      </c>
      <c r="R20" s="121" t="s">
        <v>4611</v>
      </c>
      <c r="S20" s="162" t="s">
        <v>4385</v>
      </c>
      <c r="T20" s="160">
        <v>1818</v>
      </c>
      <c r="U20" s="95" t="s">
        <v>199</v>
      </c>
      <c r="V20" s="94" t="s">
        <v>996</v>
      </c>
      <c r="W20" s="67" t="s">
        <v>4777</v>
      </c>
    </row>
    <row r="21" spans="1:24">
      <c r="A21" s="326" t="s">
        <v>4715</v>
      </c>
      <c r="B21" s="329">
        <v>1882</v>
      </c>
      <c r="C21" s="326" t="s">
        <v>4716</v>
      </c>
      <c r="D21" s="337" t="s">
        <v>4717</v>
      </c>
      <c r="E21" s="326" t="s">
        <v>4712</v>
      </c>
      <c r="F21" s="337" t="s">
        <v>4718</v>
      </c>
      <c r="G21" s="186">
        <v>1904</v>
      </c>
      <c r="H21" s="126" t="s">
        <v>4334</v>
      </c>
      <c r="I21" s="152" t="s">
        <v>3977</v>
      </c>
      <c r="J21" s="126" t="s">
        <v>4341</v>
      </c>
      <c r="K21" s="152"/>
      <c r="L21" s="187" t="s">
        <v>4263</v>
      </c>
      <c r="M21" s="187" t="s">
        <v>4263</v>
      </c>
      <c r="N21" s="126" t="s">
        <v>4742</v>
      </c>
      <c r="O21" s="126" t="s">
        <v>3965</v>
      </c>
      <c r="P21" s="147">
        <v>1905</v>
      </c>
      <c r="Q21" s="138" t="s">
        <v>4530</v>
      </c>
      <c r="R21" s="122" t="s">
        <v>4612</v>
      </c>
      <c r="S21" s="162" t="s">
        <v>4386</v>
      </c>
      <c r="T21" s="160">
        <v>1834</v>
      </c>
      <c r="U21" s="95"/>
      <c r="V21" s="94" t="s">
        <v>998</v>
      </c>
      <c r="W21" s="67" t="s">
        <v>4820</v>
      </c>
    </row>
    <row r="22" spans="1:24">
      <c r="A22" s="325" t="s">
        <v>2544</v>
      </c>
      <c r="B22" s="330">
        <v>1882</v>
      </c>
      <c r="C22" s="325" t="s">
        <v>2555</v>
      </c>
      <c r="D22" s="338" t="s">
        <v>2685</v>
      </c>
      <c r="E22" s="325" t="s">
        <v>104</v>
      </c>
      <c r="F22" s="338" t="s">
        <v>4238</v>
      </c>
      <c r="G22" s="179">
        <v>1904</v>
      </c>
      <c r="H22" s="127" t="s">
        <v>3980</v>
      </c>
      <c r="I22" s="153" t="s">
        <v>4343</v>
      </c>
      <c r="J22" s="127"/>
      <c r="K22" s="153" t="s">
        <v>4318</v>
      </c>
      <c r="L22" s="183" t="s">
        <v>3984</v>
      </c>
      <c r="M22" s="183" t="s">
        <v>3985</v>
      </c>
      <c r="N22" s="127" t="s">
        <v>4272</v>
      </c>
      <c r="O22" s="127" t="s">
        <v>2221</v>
      </c>
      <c r="P22" s="132">
        <v>1905</v>
      </c>
      <c r="Q22" s="68" t="s">
        <v>4613</v>
      </c>
      <c r="R22" s="17" t="s">
        <v>4516</v>
      </c>
      <c r="S22" s="162" t="s">
        <v>4387</v>
      </c>
      <c r="T22" s="160">
        <v>1811</v>
      </c>
      <c r="U22" s="95" t="s">
        <v>200</v>
      </c>
      <c r="V22" s="94" t="s">
        <v>1000</v>
      </c>
      <c r="W22" s="67" t="s">
        <v>4821</v>
      </c>
    </row>
    <row r="23" spans="1:24">
      <c r="A23" s="124" t="s">
        <v>4719</v>
      </c>
      <c r="B23" s="329">
        <v>1882</v>
      </c>
      <c r="C23" s="326" t="s">
        <v>4720</v>
      </c>
      <c r="D23" s="337" t="s">
        <v>4708</v>
      </c>
      <c r="E23" s="326" t="s">
        <v>4721</v>
      </c>
      <c r="F23" s="337" t="s">
        <v>108</v>
      </c>
      <c r="G23" s="186">
        <v>1905</v>
      </c>
      <c r="H23" s="126" t="s">
        <v>4579</v>
      </c>
      <c r="I23" s="152" t="s">
        <v>3991</v>
      </c>
      <c r="J23" s="126" t="s">
        <v>4580</v>
      </c>
      <c r="K23" s="152"/>
      <c r="L23" s="187" t="s">
        <v>1996</v>
      </c>
      <c r="M23" s="187" t="s">
        <v>4581</v>
      </c>
      <c r="N23" s="126" t="s">
        <v>3993</v>
      </c>
      <c r="O23" s="126" t="s">
        <v>226</v>
      </c>
      <c r="P23" s="147">
        <v>1905</v>
      </c>
      <c r="Q23" s="138" t="s">
        <v>4371</v>
      </c>
      <c r="R23" s="122" t="s">
        <v>4330</v>
      </c>
      <c r="S23" s="162" t="s">
        <v>4388</v>
      </c>
      <c r="T23" s="160">
        <v>1841</v>
      </c>
      <c r="U23" s="95" t="s">
        <v>201</v>
      </c>
      <c r="V23" s="94" t="s">
        <v>1002</v>
      </c>
      <c r="W23" s="67" t="s">
        <v>4813</v>
      </c>
    </row>
    <row r="24" spans="1:24">
      <c r="A24" s="325" t="s">
        <v>4507</v>
      </c>
      <c r="B24" s="330">
        <v>1882</v>
      </c>
      <c r="C24" s="325" t="s">
        <v>4508</v>
      </c>
      <c r="D24" s="338" t="s">
        <v>4509</v>
      </c>
      <c r="E24" s="325" t="s">
        <v>4510</v>
      </c>
      <c r="F24" s="338" t="s">
        <v>4511</v>
      </c>
      <c r="G24" s="179">
        <v>1905</v>
      </c>
      <c r="H24" s="127" t="s">
        <v>4870</v>
      </c>
      <c r="I24" s="153" t="s">
        <v>3995</v>
      </c>
      <c r="J24" s="127"/>
      <c r="K24" s="153"/>
      <c r="L24" s="183" t="s">
        <v>4871</v>
      </c>
      <c r="M24" s="183" t="s">
        <v>4872</v>
      </c>
      <c r="N24" s="127" t="s">
        <v>3997</v>
      </c>
      <c r="O24" s="127" t="s">
        <v>3998</v>
      </c>
      <c r="P24" s="132">
        <v>1919</v>
      </c>
      <c r="Q24" s="137" t="s">
        <v>4792</v>
      </c>
      <c r="R24" s="121"/>
      <c r="S24" s="162" t="s">
        <v>4389</v>
      </c>
      <c r="T24" s="160">
        <v>1843</v>
      </c>
      <c r="U24" s="95"/>
      <c r="V24" s="94"/>
      <c r="W24" s="67" t="s">
        <v>4822</v>
      </c>
    </row>
    <row r="25" spans="1:24">
      <c r="A25" s="326" t="s">
        <v>2550</v>
      </c>
      <c r="B25" s="329">
        <v>1882</v>
      </c>
      <c r="C25" s="326" t="s">
        <v>2556</v>
      </c>
      <c r="D25" s="337" t="s">
        <v>3303</v>
      </c>
      <c r="E25" s="326" t="s">
        <v>4512</v>
      </c>
      <c r="F25" s="337" t="s">
        <v>121</v>
      </c>
      <c r="G25" s="186">
        <v>1905</v>
      </c>
      <c r="H25" s="126" t="s">
        <v>2683</v>
      </c>
      <c r="I25" s="152" t="s">
        <v>4344</v>
      </c>
      <c r="J25" s="126"/>
      <c r="K25" s="152"/>
      <c r="L25" s="187" t="s">
        <v>4000</v>
      </c>
      <c r="M25" s="187" t="s">
        <v>4001</v>
      </c>
      <c r="N25" s="126" t="s">
        <v>4345</v>
      </c>
      <c r="O25" s="126" t="s">
        <v>4256</v>
      </c>
      <c r="P25" s="147">
        <v>1919</v>
      </c>
      <c r="Q25" s="138" t="s">
        <v>4372</v>
      </c>
      <c r="R25" s="122" t="s">
        <v>4373</v>
      </c>
      <c r="S25" s="162" t="s">
        <v>4390</v>
      </c>
      <c r="T25" s="160">
        <v>1845</v>
      </c>
      <c r="U25" s="33" t="s">
        <v>202</v>
      </c>
      <c r="V25" s="94" t="s">
        <v>4430</v>
      </c>
      <c r="W25" s="67" t="s">
        <v>4823</v>
      </c>
    </row>
    <row r="26" spans="1:24">
      <c r="A26" s="325" t="s">
        <v>4239</v>
      </c>
      <c r="B26" s="330">
        <v>1882</v>
      </c>
      <c r="C26" s="325" t="s">
        <v>4240</v>
      </c>
      <c r="D26" s="338" t="s">
        <v>4241</v>
      </c>
      <c r="E26" s="325"/>
      <c r="F26" s="338" t="s">
        <v>120</v>
      </c>
      <c r="G26" s="179">
        <v>1905</v>
      </c>
      <c r="H26" s="268" t="s">
        <v>4003</v>
      </c>
      <c r="I26" s="270" t="s">
        <v>4776</v>
      </c>
      <c r="J26" s="127"/>
      <c r="K26" s="270" t="s">
        <v>4777</v>
      </c>
      <c r="L26" s="183" t="s">
        <v>4004</v>
      </c>
      <c r="M26" s="183" t="s">
        <v>4005</v>
      </c>
      <c r="N26" s="127" t="s">
        <v>5094</v>
      </c>
      <c r="O26" s="127" t="s">
        <v>4006</v>
      </c>
      <c r="P26" s="132">
        <v>1919</v>
      </c>
      <c r="Q26" s="137" t="s">
        <v>4240</v>
      </c>
      <c r="R26" s="121"/>
      <c r="S26" s="162" t="s">
        <v>4391</v>
      </c>
      <c r="T26" s="160">
        <v>1848</v>
      </c>
      <c r="U26" s="95" t="s">
        <v>203</v>
      </c>
      <c r="V26" s="94" t="s">
        <v>4431</v>
      </c>
      <c r="W26" s="67" t="s">
        <v>4824</v>
      </c>
    </row>
    <row r="27" spans="1:24">
      <c r="A27" s="326" t="s">
        <v>117</v>
      </c>
      <c r="B27" s="329">
        <v>1882</v>
      </c>
      <c r="C27" s="326" t="s">
        <v>2557</v>
      </c>
      <c r="D27" s="337" t="s">
        <v>2686</v>
      </c>
      <c r="E27" s="326" t="s">
        <v>4722</v>
      </c>
      <c r="F27" s="337" t="s">
        <v>5075</v>
      </c>
      <c r="G27" s="186">
        <v>1905</v>
      </c>
      <c r="H27" s="126" t="s">
        <v>4346</v>
      </c>
      <c r="I27" s="152" t="s">
        <v>4007</v>
      </c>
      <c r="J27" s="126"/>
      <c r="K27" s="152"/>
      <c r="L27" s="187" t="s">
        <v>4234</v>
      </c>
      <c r="M27" s="187" t="s">
        <v>1407</v>
      </c>
      <c r="N27" s="126" t="s">
        <v>4347</v>
      </c>
      <c r="O27" s="126" t="s">
        <v>4008</v>
      </c>
      <c r="P27" s="147">
        <v>1901</v>
      </c>
      <c r="Q27" s="241" t="s">
        <v>4281</v>
      </c>
      <c r="R27" s="131" t="s">
        <v>4270</v>
      </c>
      <c r="S27" s="162" t="s">
        <v>4312</v>
      </c>
      <c r="T27" s="160">
        <v>1833.5</v>
      </c>
      <c r="U27" s="95"/>
      <c r="V27" s="94" t="s">
        <v>4431</v>
      </c>
      <c r="W27" s="67" t="s">
        <v>4825</v>
      </c>
    </row>
    <row r="28" spans="1:24">
      <c r="A28" s="325" t="s">
        <v>2551</v>
      </c>
      <c r="B28" s="330">
        <v>1882</v>
      </c>
      <c r="C28" s="325" t="s">
        <v>2558</v>
      </c>
      <c r="D28" s="338" t="s">
        <v>2687</v>
      </c>
      <c r="E28" s="325" t="s">
        <v>125</v>
      </c>
      <c r="F28" s="338" t="s">
        <v>4242</v>
      </c>
      <c r="G28" s="179">
        <v>1905</v>
      </c>
      <c r="H28" s="127" t="s">
        <v>4010</v>
      </c>
      <c r="I28" s="153" t="s">
        <v>4583</v>
      </c>
      <c r="J28" s="127"/>
      <c r="K28" s="153" t="s">
        <v>4584</v>
      </c>
      <c r="L28" s="183" t="s">
        <v>4930</v>
      </c>
      <c r="M28" s="183" t="s">
        <v>4011</v>
      </c>
      <c r="N28" s="127" t="s">
        <v>4585</v>
      </c>
      <c r="O28" s="127" t="s">
        <v>4931</v>
      </c>
      <c r="P28" s="132">
        <v>1901</v>
      </c>
      <c r="Q28" s="242" t="s">
        <v>4874</v>
      </c>
      <c r="R28" s="130" t="s">
        <v>4875</v>
      </c>
      <c r="S28" s="162" t="s">
        <v>4304</v>
      </c>
      <c r="T28" s="160">
        <v>1853</v>
      </c>
      <c r="U28" s="95" t="s">
        <v>4430</v>
      </c>
      <c r="V28" s="94" t="s">
        <v>4432</v>
      </c>
      <c r="W28" s="118" t="s">
        <v>4724</v>
      </c>
      <c r="X28" s="117"/>
    </row>
    <row r="29" spans="1:24" ht="17.25" customHeight="1">
      <c r="A29" s="326" t="s">
        <v>4243</v>
      </c>
      <c r="B29" s="329">
        <v>1882</v>
      </c>
      <c r="C29" s="334" t="s">
        <v>4244</v>
      </c>
      <c r="D29" s="337" t="s">
        <v>4245</v>
      </c>
      <c r="E29" s="334" t="s">
        <v>2547</v>
      </c>
      <c r="F29" s="337" t="s">
        <v>2723</v>
      </c>
      <c r="G29" s="186">
        <v>1905</v>
      </c>
      <c r="H29" s="126" t="s">
        <v>1241</v>
      </c>
      <c r="I29" s="152" t="s">
        <v>4778</v>
      </c>
      <c r="J29" s="126"/>
      <c r="K29" s="152" t="s">
        <v>4779</v>
      </c>
      <c r="L29" s="187" t="s">
        <v>4012</v>
      </c>
      <c r="M29" s="187" t="s">
        <v>3998</v>
      </c>
      <c r="N29" s="126" t="s">
        <v>4780</v>
      </c>
      <c r="O29" s="126" t="s">
        <v>4533</v>
      </c>
      <c r="P29" s="147">
        <v>1904</v>
      </c>
      <c r="Q29" s="241" t="s">
        <v>4374</v>
      </c>
      <c r="R29" s="131" t="s">
        <v>4327</v>
      </c>
      <c r="S29" s="162" t="s">
        <v>4311</v>
      </c>
      <c r="T29" s="160">
        <v>1857.5</v>
      </c>
      <c r="U29" s="95" t="s">
        <v>4431</v>
      </c>
      <c r="V29" s="94" t="s">
        <v>4433</v>
      </c>
      <c r="W29" s="118"/>
    </row>
    <row r="30" spans="1:24" ht="18" customHeight="1">
      <c r="A30" s="17" t="s">
        <v>4513</v>
      </c>
      <c r="B30" s="330">
        <v>1902</v>
      </c>
      <c r="C30" s="258" t="s">
        <v>4514</v>
      </c>
      <c r="D30" s="260" t="s">
        <v>4515</v>
      </c>
      <c r="E30" s="45" t="s">
        <v>4516</v>
      </c>
      <c r="F30" s="338" t="s">
        <v>2529</v>
      </c>
      <c r="G30" s="179">
        <v>1905</v>
      </c>
      <c r="H30" s="127" t="s">
        <v>4586</v>
      </c>
      <c r="I30" s="153" t="s">
        <v>4932</v>
      </c>
      <c r="J30" s="127" t="s">
        <v>4587</v>
      </c>
      <c r="K30" s="153"/>
      <c r="L30" s="183" t="s">
        <v>4588</v>
      </c>
      <c r="M30" s="183" t="s">
        <v>4575</v>
      </c>
      <c r="N30" s="127" t="s">
        <v>4014</v>
      </c>
      <c r="O30" s="127" t="s">
        <v>4933</v>
      </c>
      <c r="P30" s="132">
        <v>1904</v>
      </c>
      <c r="Q30" s="242" t="s">
        <v>4793</v>
      </c>
      <c r="R30" s="130" t="s">
        <v>4734</v>
      </c>
      <c r="S30" s="162" t="s">
        <v>4392</v>
      </c>
      <c r="T30" s="160">
        <v>1835</v>
      </c>
      <c r="U30" s="95" t="s">
        <v>4431</v>
      </c>
      <c r="V30" s="94" t="s">
        <v>4258</v>
      </c>
      <c r="W30" s="67" t="s">
        <v>4826</v>
      </c>
    </row>
    <row r="31" spans="1:24">
      <c r="A31" s="123" t="s">
        <v>4517</v>
      </c>
      <c r="B31" s="329">
        <v>1903</v>
      </c>
      <c r="C31" s="265" t="s">
        <v>4514</v>
      </c>
      <c r="D31" s="266" t="s">
        <v>4515</v>
      </c>
      <c r="E31" s="134" t="s">
        <v>4724</v>
      </c>
      <c r="F31" s="337" t="s">
        <v>4518</v>
      </c>
      <c r="G31" s="186">
        <v>1905</v>
      </c>
      <c r="H31" s="126" t="s">
        <v>4258</v>
      </c>
      <c r="I31" s="152" t="s">
        <v>4016</v>
      </c>
      <c r="J31" s="126" t="s">
        <v>4348</v>
      </c>
      <c r="K31" s="152"/>
      <c r="L31" s="187" t="s">
        <v>4311</v>
      </c>
      <c r="M31" s="187" t="s">
        <v>2225</v>
      </c>
      <c r="N31" s="126" t="s">
        <v>4017</v>
      </c>
      <c r="O31" s="126" t="s">
        <v>2221</v>
      </c>
      <c r="P31" s="147">
        <v>1883</v>
      </c>
      <c r="Q31" s="241" t="s">
        <v>4719</v>
      </c>
      <c r="R31" s="131" t="s">
        <v>4794</v>
      </c>
      <c r="S31" s="162" t="s">
        <v>4313</v>
      </c>
      <c r="T31" s="160">
        <v>1835</v>
      </c>
      <c r="U31" s="95" t="s">
        <v>4258</v>
      </c>
      <c r="V31" s="94" t="s">
        <v>4374</v>
      </c>
      <c r="W31" s="67" t="s">
        <v>4827</v>
      </c>
    </row>
    <row r="32" spans="1:24">
      <c r="A32" s="17" t="s">
        <v>4246</v>
      </c>
      <c r="B32" s="330">
        <v>1905</v>
      </c>
      <c r="C32" s="17" t="s">
        <v>4247</v>
      </c>
      <c r="D32" s="18" t="s">
        <v>4248</v>
      </c>
      <c r="E32" s="325" t="s">
        <v>1411</v>
      </c>
      <c r="F32" s="338" t="s">
        <v>4903</v>
      </c>
      <c r="G32" s="179">
        <v>1905</v>
      </c>
      <c r="H32" s="127" t="s">
        <v>4019</v>
      </c>
      <c r="I32" s="153" t="s">
        <v>4590</v>
      </c>
      <c r="J32" s="127"/>
      <c r="K32" s="153"/>
      <c r="L32" s="183" t="s">
        <v>4020</v>
      </c>
      <c r="M32" s="183" t="s">
        <v>4021</v>
      </c>
      <c r="N32" s="127" t="s">
        <v>4023</v>
      </c>
      <c r="O32" s="127" t="s">
        <v>4024</v>
      </c>
      <c r="P32" s="132">
        <v>1883</v>
      </c>
      <c r="Q32" s="242" t="s">
        <v>4322</v>
      </c>
      <c r="R32" s="130" t="s">
        <v>4375</v>
      </c>
      <c r="S32" s="153" t="s">
        <v>4338</v>
      </c>
      <c r="T32" s="127">
        <v>1850</v>
      </c>
      <c r="U32" s="95" t="s">
        <v>4434</v>
      </c>
      <c r="V32" s="94" t="s">
        <v>4435</v>
      </c>
      <c r="W32" s="67" t="s">
        <v>4828</v>
      </c>
    </row>
    <row r="33" spans="1:23">
      <c r="A33" s="326" t="s">
        <v>4725</v>
      </c>
      <c r="B33" s="329">
        <v>1905</v>
      </c>
      <c r="C33" s="326" t="s">
        <v>4726</v>
      </c>
      <c r="D33" s="337" t="s">
        <v>166</v>
      </c>
      <c r="E33" s="326" t="s">
        <v>167</v>
      </c>
      <c r="F33" s="337" t="s">
        <v>168</v>
      </c>
      <c r="G33" s="186">
        <v>1905</v>
      </c>
      <c r="H33" s="126" t="s">
        <v>4728</v>
      </c>
      <c r="I33" s="152" t="s">
        <v>4026</v>
      </c>
      <c r="J33" s="126"/>
      <c r="K33" s="152"/>
      <c r="L33" s="187" t="s">
        <v>4028</v>
      </c>
      <c r="M33" s="187" t="s">
        <v>4748</v>
      </c>
      <c r="N33" s="126" t="s">
        <v>4029</v>
      </c>
      <c r="O33" s="126" t="s">
        <v>4349</v>
      </c>
      <c r="P33" s="116"/>
      <c r="Q33" s="94"/>
      <c r="R33" s="115"/>
      <c r="S33" s="152" t="s">
        <v>4393</v>
      </c>
      <c r="T33" s="126">
        <v>1791</v>
      </c>
      <c r="U33" s="95" t="s">
        <v>4436</v>
      </c>
      <c r="V33" s="94" t="s">
        <v>4304</v>
      </c>
      <c r="W33" s="67" t="s">
        <v>4829</v>
      </c>
    </row>
    <row r="34" spans="1:23">
      <c r="A34" s="325" t="s">
        <v>4519</v>
      </c>
      <c r="B34" s="330">
        <v>1905</v>
      </c>
      <c r="C34" s="325" t="s">
        <v>4520</v>
      </c>
      <c r="D34" s="338" t="s">
        <v>4521</v>
      </c>
      <c r="E34" s="325" t="s">
        <v>170</v>
      </c>
      <c r="F34" s="338" t="s">
        <v>4904</v>
      </c>
      <c r="G34" s="179">
        <v>1905</v>
      </c>
      <c r="H34" s="127" t="s">
        <v>4286</v>
      </c>
      <c r="I34" s="153" t="s">
        <v>4032</v>
      </c>
      <c r="J34" s="127" t="s">
        <v>4350</v>
      </c>
      <c r="K34" s="153"/>
      <c r="L34" s="183" t="s">
        <v>4031</v>
      </c>
      <c r="M34" s="183" t="s">
        <v>4934</v>
      </c>
      <c r="N34" s="127" t="s">
        <v>4033</v>
      </c>
      <c r="O34" s="127" t="s">
        <v>4034</v>
      </c>
      <c r="P34" s="116"/>
      <c r="Q34" s="94"/>
      <c r="R34" s="115"/>
      <c r="S34" s="153" t="s">
        <v>4795</v>
      </c>
      <c r="T34" s="127">
        <v>1791</v>
      </c>
      <c r="U34" s="95" t="s">
        <v>4304</v>
      </c>
      <c r="V34" s="94" t="s">
        <v>4325</v>
      </c>
      <c r="W34" s="67" t="s">
        <v>4830</v>
      </c>
    </row>
    <row r="35" spans="1:23">
      <c r="A35" s="326" t="s">
        <v>4522</v>
      </c>
      <c r="B35" s="329">
        <v>1905</v>
      </c>
      <c r="C35" s="326" t="s">
        <v>4523</v>
      </c>
      <c r="D35" s="337" t="s">
        <v>4524</v>
      </c>
      <c r="E35" s="326" t="s">
        <v>4249</v>
      </c>
      <c r="F35" s="337" t="s">
        <v>4525</v>
      </c>
      <c r="G35" s="186">
        <v>1903</v>
      </c>
      <c r="H35" s="126" t="s">
        <v>4591</v>
      </c>
      <c r="I35" s="152" t="s">
        <v>4935</v>
      </c>
      <c r="J35" s="126" t="s">
        <v>4576</v>
      </c>
      <c r="K35" s="152" t="s">
        <v>4936</v>
      </c>
      <c r="L35" s="187" t="s">
        <v>4037</v>
      </c>
      <c r="M35" s="187" t="s">
        <v>4038</v>
      </c>
      <c r="N35" s="126" t="s">
        <v>4937</v>
      </c>
      <c r="O35" s="126" t="s">
        <v>4592</v>
      </c>
      <c r="P35" s="116"/>
      <c r="Q35" s="94"/>
      <c r="R35" s="115"/>
      <c r="S35" s="152" t="s">
        <v>4796</v>
      </c>
      <c r="T35" s="126">
        <v>1793</v>
      </c>
      <c r="U35" s="95" t="s">
        <v>4325</v>
      </c>
      <c r="V35" s="94" t="s">
        <v>4325</v>
      </c>
      <c r="W35" s="67" t="s">
        <v>4831</v>
      </c>
    </row>
    <row r="36" spans="1:23">
      <c r="A36" s="325" t="s">
        <v>4526</v>
      </c>
      <c r="B36" s="330">
        <v>1905</v>
      </c>
      <c r="C36" s="325" t="s">
        <v>4527</v>
      </c>
      <c r="D36" s="338" t="s">
        <v>4528</v>
      </c>
      <c r="E36" s="325" t="s">
        <v>4529</v>
      </c>
      <c r="F36" s="338" t="s">
        <v>173</v>
      </c>
      <c r="G36" s="179">
        <v>1903</v>
      </c>
      <c r="H36" s="127" t="s">
        <v>4938</v>
      </c>
      <c r="I36" s="153" t="s">
        <v>4351</v>
      </c>
      <c r="J36" s="127"/>
      <c r="K36" s="153" t="s">
        <v>4304</v>
      </c>
      <c r="L36" s="183" t="s">
        <v>4041</v>
      </c>
      <c r="M36" s="183" t="s">
        <v>1644</v>
      </c>
      <c r="N36" s="127" t="s">
        <v>4347</v>
      </c>
      <c r="O36" s="127" t="s">
        <v>4311</v>
      </c>
      <c r="P36" s="116"/>
      <c r="Q36" s="94"/>
      <c r="R36" s="115"/>
      <c r="S36" s="153" t="s">
        <v>4797</v>
      </c>
      <c r="T36" s="127">
        <v>1813</v>
      </c>
      <c r="U36" s="95" t="s">
        <v>4437</v>
      </c>
      <c r="V36" s="19" t="s">
        <v>4308</v>
      </c>
      <c r="W36" s="67" t="s">
        <v>4832</v>
      </c>
    </row>
    <row r="37" spans="1:23">
      <c r="A37" s="326" t="s">
        <v>4250</v>
      </c>
      <c r="B37" s="329">
        <v>1905</v>
      </c>
      <c r="C37" s="326" t="s">
        <v>4249</v>
      </c>
      <c r="D37" s="337" t="s">
        <v>4251</v>
      </c>
      <c r="E37" s="326" t="s">
        <v>5076</v>
      </c>
      <c r="F37" s="337" t="s">
        <v>176</v>
      </c>
      <c r="G37" s="186">
        <v>1903</v>
      </c>
      <c r="H37" s="126" t="s">
        <v>4503</v>
      </c>
      <c r="I37" s="152" t="s">
        <v>4043</v>
      </c>
      <c r="J37" s="126" t="s">
        <v>4530</v>
      </c>
      <c r="K37" s="152"/>
      <c r="L37" s="187" t="s">
        <v>4044</v>
      </c>
      <c r="M37" s="187" t="s">
        <v>4939</v>
      </c>
      <c r="N37" s="126" t="s">
        <v>4045</v>
      </c>
      <c r="O37" s="126"/>
      <c r="P37" s="116"/>
      <c r="Q37" s="94"/>
      <c r="R37" s="115"/>
      <c r="S37" s="152" t="s">
        <v>4798</v>
      </c>
      <c r="T37" s="126">
        <v>1789</v>
      </c>
      <c r="U37" s="95" t="s">
        <v>4345</v>
      </c>
      <c r="V37" s="94" t="s">
        <v>4438</v>
      </c>
      <c r="W37" s="118" t="s">
        <v>4877</v>
      </c>
    </row>
    <row r="38" spans="1:23">
      <c r="A38" s="325" t="s">
        <v>4905</v>
      </c>
      <c r="B38" s="330">
        <v>1905</v>
      </c>
      <c r="C38" s="325" t="s">
        <v>4906</v>
      </c>
      <c r="D38" s="338" t="s">
        <v>4907</v>
      </c>
      <c r="E38" s="325" t="s">
        <v>4252</v>
      </c>
      <c r="F38" s="338" t="s">
        <v>178</v>
      </c>
      <c r="G38" s="179">
        <v>1903</v>
      </c>
      <c r="H38" s="127" t="s">
        <v>2343</v>
      </c>
      <c r="I38" s="153" t="s">
        <v>4781</v>
      </c>
      <c r="J38" s="127"/>
      <c r="K38" s="153" t="s">
        <v>4782</v>
      </c>
      <c r="L38" s="183" t="s">
        <v>5095</v>
      </c>
      <c r="M38" s="183" t="s">
        <v>572</v>
      </c>
      <c r="N38" s="127" t="s">
        <v>4046</v>
      </c>
      <c r="O38" s="127" t="s">
        <v>4783</v>
      </c>
      <c r="P38" s="116"/>
      <c r="Q38" s="94"/>
      <c r="R38" s="115"/>
      <c r="S38" s="153" t="s">
        <v>4724</v>
      </c>
      <c r="T38" s="127">
        <v>1792</v>
      </c>
      <c r="U38" s="95" t="s">
        <v>4438</v>
      </c>
      <c r="V38" s="94" t="s">
        <v>4439</v>
      </c>
      <c r="W38" s="118"/>
    </row>
    <row r="39" spans="1:23">
      <c r="A39" s="124" t="s">
        <v>4530</v>
      </c>
      <c r="B39" s="329">
        <v>1905</v>
      </c>
      <c r="C39" s="326" t="s">
        <v>179</v>
      </c>
      <c r="D39" s="337" t="s">
        <v>4531</v>
      </c>
      <c r="E39" s="326" t="s">
        <v>2419</v>
      </c>
      <c r="F39" s="337" t="s">
        <v>180</v>
      </c>
      <c r="G39" s="186">
        <v>1903</v>
      </c>
      <c r="H39" s="126" t="s">
        <v>4253</v>
      </c>
      <c r="I39" s="152" t="s">
        <v>4784</v>
      </c>
      <c r="J39" s="126" t="s">
        <v>4331</v>
      </c>
      <c r="K39" s="152" t="s">
        <v>4785</v>
      </c>
      <c r="L39" s="187" t="s">
        <v>3931</v>
      </c>
      <c r="M39" s="187" t="s">
        <v>4353</v>
      </c>
      <c r="N39" s="126" t="s">
        <v>4354</v>
      </c>
      <c r="O39" s="126" t="s">
        <v>4048</v>
      </c>
      <c r="P39" s="116"/>
      <c r="Q39" s="94"/>
      <c r="R39" s="115"/>
      <c r="S39" s="152" t="s">
        <v>4724</v>
      </c>
      <c r="T39" s="126">
        <v>1803</v>
      </c>
      <c r="U39" s="95" t="s">
        <v>4440</v>
      </c>
      <c r="V39" s="94" t="s">
        <v>4440</v>
      </c>
      <c r="W39" s="67" t="s">
        <v>4833</v>
      </c>
    </row>
    <row r="40" spans="1:23">
      <c r="A40" s="325" t="s">
        <v>4727</v>
      </c>
      <c r="B40" s="330">
        <v>1905</v>
      </c>
      <c r="C40" s="325" t="s">
        <v>4728</v>
      </c>
      <c r="D40" s="338" t="s">
        <v>4729</v>
      </c>
      <c r="E40" s="325" t="s">
        <v>959</v>
      </c>
      <c r="F40" s="338" t="s">
        <v>2454</v>
      </c>
      <c r="G40" s="179">
        <v>1903</v>
      </c>
      <c r="H40" s="127" t="s">
        <v>4873</v>
      </c>
      <c r="I40" s="153" t="s">
        <v>4050</v>
      </c>
      <c r="J40" s="127"/>
      <c r="K40" s="153" t="s">
        <v>4051</v>
      </c>
      <c r="L40" s="183" t="s">
        <v>4748</v>
      </c>
      <c r="M40" s="183" t="s">
        <v>4871</v>
      </c>
      <c r="N40" s="127" t="s">
        <v>4052</v>
      </c>
      <c r="O40" s="127"/>
      <c r="P40" s="116"/>
      <c r="Q40" s="94"/>
      <c r="R40" s="115"/>
      <c r="S40" s="153" t="s">
        <v>4800</v>
      </c>
      <c r="T40" s="127">
        <v>1796</v>
      </c>
      <c r="U40" s="95" t="s">
        <v>4363</v>
      </c>
      <c r="V40" s="94" t="s">
        <v>4441</v>
      </c>
      <c r="W40" s="67" t="s">
        <v>4787</v>
      </c>
    </row>
    <row r="41" spans="1:23">
      <c r="A41" s="124" t="s">
        <v>4730</v>
      </c>
      <c r="B41" s="329">
        <v>1905</v>
      </c>
      <c r="C41" s="326" t="s">
        <v>4731</v>
      </c>
      <c r="D41" s="337" t="s">
        <v>4732</v>
      </c>
      <c r="E41" s="326" t="s">
        <v>22</v>
      </c>
      <c r="F41" s="337" t="s">
        <v>2420</v>
      </c>
      <c r="G41" s="186">
        <v>1903</v>
      </c>
      <c r="H41" s="126" t="s">
        <v>4588</v>
      </c>
      <c r="I41" s="152" t="s">
        <v>4054</v>
      </c>
      <c r="J41" s="126"/>
      <c r="K41" s="152"/>
      <c r="L41" s="187" t="s">
        <v>4056</v>
      </c>
      <c r="M41" s="187" t="s">
        <v>4057</v>
      </c>
      <c r="N41" s="126" t="s">
        <v>1500</v>
      </c>
      <c r="O41" s="126" t="s">
        <v>4058</v>
      </c>
      <c r="P41" s="116"/>
      <c r="Q41" s="94"/>
      <c r="R41" s="115"/>
      <c r="S41" s="152" t="s">
        <v>4801</v>
      </c>
      <c r="T41" s="126">
        <v>1805</v>
      </c>
      <c r="U41" s="95" t="s">
        <v>4442</v>
      </c>
      <c r="V41" s="94" t="s">
        <v>4443</v>
      </c>
      <c r="W41" s="67" t="s">
        <v>4834</v>
      </c>
    </row>
    <row r="42" spans="1:23">
      <c r="A42" s="66" t="s">
        <v>4532</v>
      </c>
      <c r="B42" s="330">
        <v>1905</v>
      </c>
      <c r="C42" s="325" t="s">
        <v>4533</v>
      </c>
      <c r="D42" s="338" t="s">
        <v>4534</v>
      </c>
      <c r="E42" s="325" t="s">
        <v>2438</v>
      </c>
      <c r="F42" s="338" t="s">
        <v>2440</v>
      </c>
      <c r="G42" s="179">
        <v>1903</v>
      </c>
      <c r="H42" s="127" t="s">
        <v>4720</v>
      </c>
      <c r="I42" s="153" t="s">
        <v>4060</v>
      </c>
      <c r="J42" s="127"/>
      <c r="K42" s="153" t="s">
        <v>4061</v>
      </c>
      <c r="L42" s="183" t="s">
        <v>4062</v>
      </c>
      <c r="M42" s="183" t="s">
        <v>4771</v>
      </c>
      <c r="N42" s="127" t="s">
        <v>4063</v>
      </c>
      <c r="O42" s="127" t="s">
        <v>4064</v>
      </c>
      <c r="P42" s="116"/>
      <c r="Q42" s="94"/>
      <c r="R42" s="115"/>
      <c r="S42" s="153" t="s">
        <v>4802</v>
      </c>
      <c r="T42" s="127">
        <v>1786</v>
      </c>
      <c r="U42" s="95" t="s">
        <v>4444</v>
      </c>
      <c r="V42" s="94" t="s">
        <v>4373</v>
      </c>
      <c r="W42" s="67" t="s">
        <v>4835</v>
      </c>
    </row>
    <row r="43" spans="1:23">
      <c r="A43" s="326" t="s">
        <v>4733</v>
      </c>
      <c r="B43" s="329">
        <v>1905</v>
      </c>
      <c r="C43" s="326" t="s">
        <v>4734</v>
      </c>
      <c r="D43" s="337" t="s">
        <v>4735</v>
      </c>
      <c r="E43" s="326" t="s">
        <v>2451</v>
      </c>
      <c r="F43" s="337" t="s">
        <v>2443</v>
      </c>
      <c r="G43" s="186">
        <v>1900</v>
      </c>
      <c r="H43" s="273" t="s">
        <v>4308</v>
      </c>
      <c r="I43" s="272" t="s">
        <v>4919</v>
      </c>
      <c r="J43" s="126"/>
      <c r="K43" s="272" t="s">
        <v>4920</v>
      </c>
      <c r="L43" s="187" t="s">
        <v>4355</v>
      </c>
      <c r="M43" s="187" t="s">
        <v>4301</v>
      </c>
      <c r="N43" s="126" t="s">
        <v>4918</v>
      </c>
      <c r="O43" s="126" t="s">
        <v>4327</v>
      </c>
      <c r="P43" s="116"/>
      <c r="Q43" s="94"/>
      <c r="R43" s="115"/>
      <c r="S43" s="152" t="s">
        <v>4803</v>
      </c>
      <c r="T43" s="126">
        <v>1850</v>
      </c>
      <c r="U43" s="95" t="s">
        <v>4332</v>
      </c>
      <c r="V43" s="94" t="s">
        <v>4332</v>
      </c>
      <c r="W43" s="67" t="s">
        <v>4836</v>
      </c>
    </row>
    <row r="44" spans="1:23">
      <c r="A44" s="325" t="s">
        <v>2445</v>
      </c>
      <c r="B44" s="330">
        <v>1905</v>
      </c>
      <c r="C44" s="325" t="s">
        <v>2446</v>
      </c>
      <c r="D44" s="338" t="s">
        <v>2689</v>
      </c>
      <c r="E44" s="325" t="s">
        <v>4535</v>
      </c>
      <c r="F44" s="338" t="s">
        <v>2447</v>
      </c>
      <c r="G44" s="179">
        <v>1882</v>
      </c>
      <c r="H44" s="127" t="s">
        <v>4111</v>
      </c>
      <c r="I44" s="153" t="s">
        <v>4593</v>
      </c>
      <c r="J44" s="127" t="s">
        <v>4112</v>
      </c>
      <c r="K44" s="153" t="s">
        <v>4594</v>
      </c>
      <c r="L44" s="183" t="s">
        <v>4114</v>
      </c>
      <c r="M44" s="183" t="s">
        <v>4115</v>
      </c>
      <c r="N44" s="127" t="s">
        <v>4116</v>
      </c>
      <c r="O44" s="127" t="s">
        <v>4117</v>
      </c>
      <c r="P44" s="116"/>
      <c r="Q44" s="94"/>
      <c r="R44" s="115"/>
      <c r="S44" s="153" t="s">
        <v>4725</v>
      </c>
      <c r="T44" s="127">
        <v>1853</v>
      </c>
      <c r="U44" s="95" t="s">
        <v>4256</v>
      </c>
      <c r="V44" s="94" t="s">
        <v>4346</v>
      </c>
      <c r="W44" s="67" t="s">
        <v>4837</v>
      </c>
    </row>
    <row r="45" spans="1:23">
      <c r="A45" s="326" t="s">
        <v>4736</v>
      </c>
      <c r="B45" s="329">
        <v>1905</v>
      </c>
      <c r="C45" s="326" t="s">
        <v>4737</v>
      </c>
      <c r="D45" s="337" t="s">
        <v>4738</v>
      </c>
      <c r="E45" s="326" t="s">
        <v>4739</v>
      </c>
      <c r="F45" s="337" t="s">
        <v>2457</v>
      </c>
      <c r="G45" s="186">
        <v>1882</v>
      </c>
      <c r="H45" s="267" t="s">
        <v>4120</v>
      </c>
      <c r="I45" s="269" t="s">
        <v>4787</v>
      </c>
      <c r="J45" s="126"/>
      <c r="K45" s="152"/>
      <c r="L45" s="187" t="s">
        <v>4121</v>
      </c>
      <c r="M45" s="187" t="s">
        <v>4122</v>
      </c>
      <c r="N45" s="126" t="s">
        <v>4789</v>
      </c>
      <c r="O45" s="126" t="s">
        <v>4123</v>
      </c>
      <c r="P45" s="116"/>
      <c r="Q45" s="94"/>
      <c r="R45" s="115"/>
      <c r="S45" s="152" t="s">
        <v>2799</v>
      </c>
      <c r="T45" s="126">
        <v>1830</v>
      </c>
      <c r="U45" s="95" t="s">
        <v>4244</v>
      </c>
      <c r="V45" s="94" t="s">
        <v>4256</v>
      </c>
      <c r="W45" s="67" t="s">
        <v>4838</v>
      </c>
    </row>
    <row r="46" spans="1:23">
      <c r="A46" s="66" t="s">
        <v>4740</v>
      </c>
      <c r="B46" s="330">
        <v>1905</v>
      </c>
      <c r="C46" s="325" t="s">
        <v>4253</v>
      </c>
      <c r="D46" s="338" t="s">
        <v>4254</v>
      </c>
      <c r="E46" s="325"/>
      <c r="F46" s="338" t="s">
        <v>2462</v>
      </c>
      <c r="G46" s="179">
        <v>1882</v>
      </c>
      <c r="H46" s="127" t="s">
        <v>4356</v>
      </c>
      <c r="I46" s="153" t="s">
        <v>4126</v>
      </c>
      <c r="J46" s="127" t="s">
        <v>4357</v>
      </c>
      <c r="K46" s="153" t="s">
        <v>4127</v>
      </c>
      <c r="L46" s="183" t="s">
        <v>4128</v>
      </c>
      <c r="M46" s="183" t="s">
        <v>4358</v>
      </c>
      <c r="N46" s="127" t="s">
        <v>4129</v>
      </c>
      <c r="O46" s="127" t="s">
        <v>4130</v>
      </c>
      <c r="P46" s="116"/>
      <c r="Q46" s="94"/>
      <c r="R46" s="115"/>
      <c r="S46" s="153" t="s">
        <v>2802</v>
      </c>
      <c r="T46" s="127">
        <v>1809</v>
      </c>
      <c r="U46" s="95" t="s">
        <v>4354</v>
      </c>
      <c r="V46" s="94" t="s">
        <v>4354</v>
      </c>
      <c r="W46" s="67" t="s">
        <v>2583</v>
      </c>
    </row>
    <row r="47" spans="1:23">
      <c r="A47" s="326" t="s">
        <v>5078</v>
      </c>
      <c r="B47" s="329">
        <v>1905</v>
      </c>
      <c r="C47" s="326" t="s">
        <v>5079</v>
      </c>
      <c r="D47" s="337" t="s">
        <v>5080</v>
      </c>
      <c r="E47" s="326" t="s">
        <v>5081</v>
      </c>
      <c r="F47" s="337" t="s">
        <v>2466</v>
      </c>
      <c r="G47" s="186">
        <v>1882</v>
      </c>
      <c r="H47" s="126" t="s">
        <v>4940</v>
      </c>
      <c r="I47" s="152" t="s">
        <v>4132</v>
      </c>
      <c r="J47" s="126" t="s">
        <v>4941</v>
      </c>
      <c r="K47" s="152" t="s">
        <v>4133</v>
      </c>
      <c r="L47" s="187" t="s">
        <v>4942</v>
      </c>
      <c r="M47" s="187" t="s">
        <v>4135</v>
      </c>
      <c r="N47" s="126" t="s">
        <v>4136</v>
      </c>
      <c r="O47" s="126" t="s">
        <v>4137</v>
      </c>
      <c r="P47" s="116"/>
      <c r="Q47" s="94"/>
      <c r="R47" s="115"/>
      <c r="S47" s="152" t="s">
        <v>2806</v>
      </c>
      <c r="T47" s="126">
        <v>1805</v>
      </c>
      <c r="U47" s="95" t="s">
        <v>4227</v>
      </c>
      <c r="V47" s="94" t="s">
        <v>4445</v>
      </c>
      <c r="W47" s="67" t="s">
        <v>2584</v>
      </c>
    </row>
    <row r="48" spans="1:23">
      <c r="A48" s="325" t="s">
        <v>5082</v>
      </c>
      <c r="B48" s="330">
        <v>1905</v>
      </c>
      <c r="C48" s="325" t="s">
        <v>5083</v>
      </c>
      <c r="D48" s="338" t="s">
        <v>5084</v>
      </c>
      <c r="E48" s="325" t="s">
        <v>5085</v>
      </c>
      <c r="F48" s="338" t="s">
        <v>2468</v>
      </c>
      <c r="G48" s="179">
        <v>1882</v>
      </c>
      <c r="H48" s="127" t="s">
        <v>4142</v>
      </c>
      <c r="I48" s="153" t="s">
        <v>4943</v>
      </c>
      <c r="J48" s="127"/>
      <c r="K48" s="153" t="s">
        <v>4944</v>
      </c>
      <c r="L48" s="183" t="s">
        <v>4140</v>
      </c>
      <c r="M48" s="183" t="s">
        <v>4141</v>
      </c>
      <c r="N48" s="127" t="s">
        <v>4143</v>
      </c>
      <c r="O48" s="127" t="s">
        <v>4144</v>
      </c>
      <c r="P48" s="116"/>
      <c r="Q48" s="94"/>
      <c r="R48" s="115"/>
      <c r="S48" s="153" t="s">
        <v>2809</v>
      </c>
      <c r="T48" s="127">
        <v>1807</v>
      </c>
      <c r="U48" s="95" t="s">
        <v>4445</v>
      </c>
      <c r="V48" s="94" t="s">
        <v>4412</v>
      </c>
      <c r="W48" s="67" t="s">
        <v>2585</v>
      </c>
    </row>
    <row r="49" spans="1:23">
      <c r="A49" s="326" t="s">
        <v>4255</v>
      </c>
      <c r="B49" s="329">
        <v>1905</v>
      </c>
      <c r="C49" s="326" t="s">
        <v>4256</v>
      </c>
      <c r="D49" s="337" t="s">
        <v>4257</v>
      </c>
      <c r="E49" s="326" t="s">
        <v>4258</v>
      </c>
      <c r="F49" s="337" t="s">
        <v>4259</v>
      </c>
      <c r="G49" s="186">
        <v>1882</v>
      </c>
      <c r="H49" s="126" t="s">
        <v>4146</v>
      </c>
      <c r="I49" s="152" t="s">
        <v>4945</v>
      </c>
      <c r="J49" s="126" t="s">
        <v>4147</v>
      </c>
      <c r="K49" s="152" t="s">
        <v>4946</v>
      </c>
      <c r="L49" s="187" t="s">
        <v>4148</v>
      </c>
      <c r="M49" s="187" t="s">
        <v>4149</v>
      </c>
      <c r="N49" s="126" t="s">
        <v>4150</v>
      </c>
      <c r="O49" s="126" t="s">
        <v>4151</v>
      </c>
      <c r="P49" s="116"/>
      <c r="Q49" s="94"/>
      <c r="R49" s="115"/>
      <c r="S49" s="152" t="s">
        <v>2813</v>
      </c>
      <c r="T49" s="126">
        <v>1848</v>
      </c>
      <c r="U49" s="95" t="s">
        <v>4272</v>
      </c>
      <c r="V49" s="94" t="s">
        <v>4272</v>
      </c>
      <c r="W49" s="67" t="s">
        <v>2586</v>
      </c>
    </row>
    <row r="50" spans="1:23">
      <c r="A50" s="325" t="s">
        <v>2530</v>
      </c>
      <c r="B50" s="330">
        <v>1905</v>
      </c>
      <c r="C50" s="325" t="s">
        <v>1654</v>
      </c>
      <c r="D50" s="338" t="s">
        <v>2531</v>
      </c>
      <c r="E50" s="325" t="s">
        <v>5086</v>
      </c>
      <c r="F50" s="338" t="s">
        <v>2532</v>
      </c>
      <c r="G50" s="179">
        <v>1882</v>
      </c>
      <c r="H50" s="127" t="s">
        <v>4947</v>
      </c>
      <c r="I50" s="153" t="s">
        <v>4153</v>
      </c>
      <c r="J50" s="127" t="s">
        <v>4948</v>
      </c>
      <c r="K50" s="153" t="s">
        <v>4154</v>
      </c>
      <c r="L50" s="183" t="s">
        <v>4949</v>
      </c>
      <c r="M50" s="183" t="s">
        <v>4950</v>
      </c>
      <c r="N50" s="127" t="s">
        <v>4951</v>
      </c>
      <c r="O50" s="127" t="s">
        <v>4155</v>
      </c>
      <c r="P50" s="116"/>
      <c r="Q50" s="94"/>
      <c r="R50" s="115"/>
      <c r="S50" s="153" t="s">
        <v>2817</v>
      </c>
      <c r="T50" s="127">
        <v>1814</v>
      </c>
      <c r="U50" s="95" t="s">
        <v>4446</v>
      </c>
      <c r="V50" s="94" t="s">
        <v>4446</v>
      </c>
      <c r="W50" s="67" t="s">
        <v>4878</v>
      </c>
    </row>
    <row r="51" spans="1:23">
      <c r="A51" s="326" t="s">
        <v>4741</v>
      </c>
      <c r="B51" s="329">
        <v>1905</v>
      </c>
      <c r="C51" s="326" t="s">
        <v>4742</v>
      </c>
      <c r="D51" s="337" t="s">
        <v>4743</v>
      </c>
      <c r="E51" s="326" t="s">
        <v>2535</v>
      </c>
      <c r="F51" s="337" t="s">
        <v>2536</v>
      </c>
      <c r="G51" s="186">
        <v>1882</v>
      </c>
      <c r="H51" s="126" t="s">
        <v>4510</v>
      </c>
      <c r="I51" s="152" t="s">
        <v>4158</v>
      </c>
      <c r="J51" s="126" t="s">
        <v>4584</v>
      </c>
      <c r="K51" s="152" t="s">
        <v>4159</v>
      </c>
      <c r="L51" s="340" t="s">
        <v>4563</v>
      </c>
      <c r="M51" s="187" t="s">
        <v>4595</v>
      </c>
      <c r="N51" s="126" t="s">
        <v>4161</v>
      </c>
      <c r="O51" s="126" t="s">
        <v>4162</v>
      </c>
      <c r="P51" s="116"/>
      <c r="Q51" s="94"/>
      <c r="R51" s="115"/>
      <c r="S51" s="152" t="s">
        <v>2821</v>
      </c>
      <c r="T51" s="126">
        <v>1810</v>
      </c>
      <c r="U51" s="95" t="s">
        <v>4447</v>
      </c>
      <c r="V51" s="94" t="s">
        <v>4448</v>
      </c>
      <c r="W51" s="67" t="s">
        <v>2587</v>
      </c>
    </row>
    <row r="52" spans="1:23">
      <c r="A52" s="325" t="s">
        <v>4260</v>
      </c>
      <c r="B52" s="330">
        <v>1905</v>
      </c>
      <c r="C52" s="325" t="s">
        <v>4261</v>
      </c>
      <c r="D52" s="338" t="s">
        <v>4246</v>
      </c>
      <c r="E52" s="325"/>
      <c r="F52" s="338" t="s">
        <v>4908</v>
      </c>
      <c r="G52" s="179">
        <v>1882</v>
      </c>
      <c r="H52" s="127" t="s">
        <v>4165</v>
      </c>
      <c r="I52" s="153" t="s">
        <v>4596</v>
      </c>
      <c r="J52" s="127"/>
      <c r="K52" s="153"/>
      <c r="L52" s="183" t="s">
        <v>4166</v>
      </c>
      <c r="M52" s="183" t="s">
        <v>4167</v>
      </c>
      <c r="N52" s="127" t="s">
        <v>4598</v>
      </c>
      <c r="O52" s="127" t="s">
        <v>4168</v>
      </c>
      <c r="P52" s="116"/>
      <c r="Q52" s="94"/>
      <c r="R52" s="115"/>
      <c r="S52" s="153" t="s">
        <v>2825</v>
      </c>
      <c r="T52" s="127">
        <v>1847</v>
      </c>
      <c r="U52" s="95" t="s">
        <v>4449</v>
      </c>
      <c r="V52" s="94" t="s">
        <v>4449</v>
      </c>
      <c r="W52" s="67" t="s">
        <v>2588</v>
      </c>
    </row>
    <row r="53" spans="1:23">
      <c r="A53" s="326" t="s">
        <v>4262</v>
      </c>
      <c r="B53" s="329">
        <v>1905</v>
      </c>
      <c r="C53" s="326" t="s">
        <v>4263</v>
      </c>
      <c r="D53" s="337" t="s">
        <v>4264</v>
      </c>
      <c r="E53" s="326" t="s">
        <v>4265</v>
      </c>
      <c r="F53" s="337"/>
      <c r="G53" s="186">
        <v>1882</v>
      </c>
      <c r="H53" s="126" t="s">
        <v>4599</v>
      </c>
      <c r="I53" s="152" t="s">
        <v>4172</v>
      </c>
      <c r="J53" s="126" t="s">
        <v>4600</v>
      </c>
      <c r="K53" s="152" t="s">
        <v>4173</v>
      </c>
      <c r="L53" s="187" t="s">
        <v>4601</v>
      </c>
      <c r="M53" s="187" t="s">
        <v>4174</v>
      </c>
      <c r="N53" s="126" t="s">
        <v>4175</v>
      </c>
      <c r="O53" s="126" t="s">
        <v>4176</v>
      </c>
      <c r="P53" s="116"/>
      <c r="Q53" s="94"/>
      <c r="R53" s="115"/>
      <c r="S53" s="152" t="s">
        <v>2827</v>
      </c>
      <c r="T53" s="126">
        <v>1792</v>
      </c>
      <c r="U53" s="95" t="s">
        <v>4353</v>
      </c>
      <c r="V53" s="94" t="s">
        <v>4353</v>
      </c>
      <c r="W53" s="67" t="s">
        <v>2589</v>
      </c>
    </row>
    <row r="54" spans="1:23">
      <c r="A54" s="325" t="s">
        <v>2565</v>
      </c>
      <c r="B54" s="330">
        <v>1905</v>
      </c>
      <c r="C54" s="325" t="s">
        <v>4263</v>
      </c>
      <c r="D54" s="338" t="s">
        <v>4264</v>
      </c>
      <c r="E54" s="325"/>
      <c r="F54" s="338"/>
      <c r="G54" s="179">
        <v>1882</v>
      </c>
      <c r="H54" s="127" t="s">
        <v>4179</v>
      </c>
      <c r="I54" s="153" t="s">
        <v>4953</v>
      </c>
      <c r="J54" s="127"/>
      <c r="K54" s="153"/>
      <c r="L54" s="183" t="s">
        <v>4180</v>
      </c>
      <c r="M54" s="183" t="s">
        <v>4006</v>
      </c>
      <c r="N54" s="127" t="s">
        <v>4181</v>
      </c>
      <c r="O54" s="127" t="s">
        <v>4182</v>
      </c>
      <c r="P54" s="116"/>
      <c r="Q54" s="94"/>
      <c r="R54" s="115"/>
      <c r="S54" s="153" t="s">
        <v>2831</v>
      </c>
      <c r="T54" s="127">
        <v>1801</v>
      </c>
      <c r="U54" s="95" t="s">
        <v>4450</v>
      </c>
      <c r="V54" s="94" t="s">
        <v>4375</v>
      </c>
      <c r="W54" s="67" t="s">
        <v>2590</v>
      </c>
    </row>
    <row r="55" spans="1:23">
      <c r="A55" s="326" t="s">
        <v>4266</v>
      </c>
      <c r="B55" s="329">
        <v>1905</v>
      </c>
      <c r="C55" s="326" t="s">
        <v>4234</v>
      </c>
      <c r="D55" s="337" t="s">
        <v>4267</v>
      </c>
      <c r="E55" s="326" t="s">
        <v>2567</v>
      </c>
      <c r="F55" s="337" t="s">
        <v>2570</v>
      </c>
      <c r="G55" s="186">
        <v>1882</v>
      </c>
      <c r="H55" s="126" t="s">
        <v>4184</v>
      </c>
      <c r="I55" s="152" t="s">
        <v>4955</v>
      </c>
      <c r="J55" s="126" t="s">
        <v>4185</v>
      </c>
      <c r="K55" s="152" t="s">
        <v>4929</v>
      </c>
      <c r="L55" s="187" t="s">
        <v>4186</v>
      </c>
      <c r="M55" s="187" t="s">
        <v>4187</v>
      </c>
      <c r="N55" s="126" t="s">
        <v>4956</v>
      </c>
      <c r="O55" s="126" t="s">
        <v>4957</v>
      </c>
      <c r="P55" s="116"/>
      <c r="Q55" s="94"/>
      <c r="R55" s="115"/>
      <c r="S55" s="152" t="s">
        <v>2835</v>
      </c>
      <c r="T55" s="126">
        <v>1787</v>
      </c>
      <c r="U55" s="95" t="s">
        <v>4375</v>
      </c>
      <c r="V55" s="94" t="s">
        <v>4451</v>
      </c>
      <c r="W55" s="67" t="s">
        <v>2591</v>
      </c>
    </row>
    <row r="56" spans="1:23">
      <c r="A56" s="327" t="s">
        <v>4744</v>
      </c>
      <c r="B56" s="330">
        <v>1905</v>
      </c>
      <c r="C56" s="327" t="s">
        <v>4745</v>
      </c>
      <c r="D56" s="339" t="s">
        <v>4746</v>
      </c>
      <c r="E56" s="327" t="s">
        <v>3306</v>
      </c>
      <c r="F56" s="339" t="s">
        <v>2573</v>
      </c>
      <c r="G56" s="179">
        <v>1882</v>
      </c>
      <c r="H56" s="127" t="s">
        <v>4958</v>
      </c>
      <c r="I56" s="153" t="s">
        <v>4191</v>
      </c>
      <c r="J56" s="127" t="s">
        <v>4959</v>
      </c>
      <c r="K56" s="153" t="s">
        <v>4192</v>
      </c>
      <c r="L56" s="183" t="s">
        <v>4193</v>
      </c>
      <c r="M56" s="183" t="s">
        <v>4194</v>
      </c>
      <c r="N56" s="127" t="s">
        <v>4195</v>
      </c>
      <c r="O56" s="127" t="s">
        <v>4196</v>
      </c>
      <c r="P56" s="116"/>
      <c r="Q56" s="94"/>
      <c r="R56" s="115"/>
      <c r="S56" s="153" t="s">
        <v>2839</v>
      </c>
      <c r="T56" s="127">
        <v>1805</v>
      </c>
      <c r="U56" s="95" t="s">
        <v>4330</v>
      </c>
      <c r="V56" s="94" t="s">
        <v>4288</v>
      </c>
      <c r="W56" s="67" t="s">
        <v>2592</v>
      </c>
    </row>
    <row r="57" spans="1:23">
      <c r="A57" s="326" t="s">
        <v>4747</v>
      </c>
      <c r="B57" s="329">
        <v>1905</v>
      </c>
      <c r="C57" s="326" t="s">
        <v>4748</v>
      </c>
      <c r="D57" s="326" t="s">
        <v>4749</v>
      </c>
      <c r="E57" s="326" t="s">
        <v>4868</v>
      </c>
      <c r="F57" s="326" t="s">
        <v>2576</v>
      </c>
      <c r="G57" s="186">
        <v>1882</v>
      </c>
      <c r="H57" s="126" t="s">
        <v>2221</v>
      </c>
      <c r="I57" s="152" t="s">
        <v>4359</v>
      </c>
      <c r="J57" s="126" t="s">
        <v>4199</v>
      </c>
      <c r="K57" s="152" t="s">
        <v>4360</v>
      </c>
      <c r="L57" s="187" t="s">
        <v>4200</v>
      </c>
      <c r="M57" s="187" t="s">
        <v>4201</v>
      </c>
      <c r="N57" s="126" t="s">
        <v>4304</v>
      </c>
      <c r="O57" s="126" t="s">
        <v>4960</v>
      </c>
      <c r="P57" s="116"/>
      <c r="Q57" s="94"/>
      <c r="R57" s="115"/>
      <c r="S57" s="152" t="s">
        <v>2843</v>
      </c>
      <c r="T57" s="126">
        <v>1773</v>
      </c>
      <c r="U57" s="95" t="s">
        <v>4451</v>
      </c>
      <c r="V57" s="94" t="s">
        <v>4355</v>
      </c>
      <c r="W57" s="67" t="s">
        <v>2593</v>
      </c>
    </row>
    <row r="58" spans="1:23">
      <c r="A58" s="258" t="s">
        <v>4536</v>
      </c>
      <c r="B58" s="330">
        <v>1905</v>
      </c>
      <c r="C58" s="258" t="s">
        <v>4514</v>
      </c>
      <c r="D58" s="17" t="s">
        <v>4515</v>
      </c>
      <c r="E58" s="325" t="s">
        <v>4537</v>
      </c>
      <c r="F58" s="325" t="s">
        <v>4750</v>
      </c>
      <c r="G58" s="179">
        <v>1882</v>
      </c>
      <c r="H58" s="127" t="s">
        <v>4204</v>
      </c>
      <c r="I58" s="153" t="s">
        <v>4602</v>
      </c>
      <c r="J58" s="127"/>
      <c r="K58" s="153"/>
      <c r="L58" s="183" t="s">
        <v>4205</v>
      </c>
      <c r="M58" s="183" t="s">
        <v>4206</v>
      </c>
      <c r="N58" s="127" t="s">
        <v>5096</v>
      </c>
      <c r="O58" s="127" t="s">
        <v>4604</v>
      </c>
      <c r="P58" s="116"/>
      <c r="Q58" s="94"/>
      <c r="R58" s="115"/>
      <c r="S58" s="153" t="s">
        <v>2847</v>
      </c>
      <c r="T58" s="127">
        <v>1812</v>
      </c>
      <c r="U58" s="95" t="s">
        <v>4288</v>
      </c>
      <c r="V58" s="94" t="s">
        <v>4347</v>
      </c>
      <c r="W58" s="67" t="s">
        <v>2594</v>
      </c>
    </row>
    <row r="59" spans="1:23">
      <c r="A59" s="326" t="s">
        <v>2579</v>
      </c>
      <c r="B59" s="329">
        <v>1905</v>
      </c>
      <c r="C59" s="326" t="s">
        <v>2580</v>
      </c>
      <c r="D59" s="326" t="s">
        <v>2581</v>
      </c>
      <c r="E59" s="326" t="s">
        <v>4909</v>
      </c>
      <c r="F59" s="326" t="s">
        <v>4268</v>
      </c>
      <c r="G59" s="186">
        <v>1882</v>
      </c>
      <c r="H59" s="126" t="s">
        <v>4208</v>
      </c>
      <c r="I59" s="152" t="s">
        <v>4961</v>
      </c>
      <c r="J59" s="126" t="s">
        <v>4209</v>
      </c>
      <c r="K59" s="152" t="s">
        <v>4962</v>
      </c>
      <c r="L59" s="187" t="s">
        <v>4210</v>
      </c>
      <c r="M59" s="187" t="s">
        <v>4211</v>
      </c>
      <c r="N59" s="126" t="s">
        <v>4963</v>
      </c>
      <c r="O59" s="267" t="s">
        <v>4920</v>
      </c>
      <c r="P59" s="116"/>
      <c r="Q59" s="94"/>
      <c r="R59" s="115"/>
      <c r="S59" s="152" t="s">
        <v>2850</v>
      </c>
      <c r="T59" s="126"/>
      <c r="U59" s="95" t="s">
        <v>4355</v>
      </c>
      <c r="V59" s="94" t="s">
        <v>4263</v>
      </c>
      <c r="W59" s="67" t="s">
        <v>2594</v>
      </c>
    </row>
    <row r="60" spans="1:23">
      <c r="A60" s="325" t="s">
        <v>4910</v>
      </c>
      <c r="B60" s="330">
        <v>1905</v>
      </c>
      <c r="C60" s="325" t="s">
        <v>4911</v>
      </c>
      <c r="D60" s="325" t="s">
        <v>4912</v>
      </c>
      <c r="E60" s="325" t="s">
        <v>4728</v>
      </c>
      <c r="F60" s="325" t="s">
        <v>3982</v>
      </c>
      <c r="G60" s="116"/>
      <c r="H60" s="94"/>
      <c r="I60" s="94"/>
      <c r="J60" s="94"/>
      <c r="K60" s="94"/>
      <c r="L60" s="94"/>
      <c r="M60" s="94"/>
      <c r="N60" s="94"/>
      <c r="O60" s="115"/>
      <c r="P60" s="116"/>
      <c r="Q60" s="94"/>
      <c r="R60" s="115"/>
      <c r="S60" s="153" t="s">
        <v>2853</v>
      </c>
      <c r="T60" s="127">
        <v>1787</v>
      </c>
      <c r="U60" s="95" t="s">
        <v>4347</v>
      </c>
      <c r="V60" s="94" t="s">
        <v>4452</v>
      </c>
      <c r="W60" s="67" t="s">
        <v>2595</v>
      </c>
    </row>
    <row r="61" spans="1:23">
      <c r="A61" s="326" t="s">
        <v>2611</v>
      </c>
      <c r="B61" s="329">
        <v>1905</v>
      </c>
      <c r="C61" s="326" t="s">
        <v>2612</v>
      </c>
      <c r="D61" s="326" t="s">
        <v>2613</v>
      </c>
      <c r="E61" s="326" t="s">
        <v>4728</v>
      </c>
      <c r="F61" s="326" t="s">
        <v>4269</v>
      </c>
      <c r="G61" s="116"/>
      <c r="H61" s="94"/>
      <c r="I61" s="94"/>
      <c r="J61" s="94"/>
      <c r="K61" s="94"/>
      <c r="L61" s="94"/>
      <c r="M61" s="94"/>
      <c r="N61" s="94"/>
      <c r="O61" s="115"/>
      <c r="P61" s="116"/>
      <c r="Q61" s="94"/>
      <c r="R61" s="115"/>
      <c r="S61" s="152" t="s">
        <v>2857</v>
      </c>
      <c r="T61" s="126">
        <v>1791</v>
      </c>
      <c r="U61" s="95" t="s">
        <v>4263</v>
      </c>
      <c r="V61" s="94" t="s">
        <v>4453</v>
      </c>
      <c r="W61" s="67" t="s">
        <v>2596</v>
      </c>
    </row>
    <row r="62" spans="1:23">
      <c r="A62" s="325" t="s">
        <v>5087</v>
      </c>
      <c r="B62" s="330">
        <v>1905</v>
      </c>
      <c r="C62" s="325" t="s">
        <v>5088</v>
      </c>
      <c r="D62" s="325" t="s">
        <v>5089</v>
      </c>
      <c r="E62" s="325" t="s">
        <v>4249</v>
      </c>
      <c r="F62" s="325" t="s">
        <v>2615</v>
      </c>
      <c r="G62" s="116"/>
      <c r="H62" s="94"/>
      <c r="I62" s="94"/>
      <c r="J62" s="94"/>
      <c r="K62" s="94"/>
      <c r="L62" s="94"/>
      <c r="M62" s="94"/>
      <c r="N62" s="94"/>
      <c r="O62" s="115"/>
      <c r="P62" s="116"/>
      <c r="Q62" s="94"/>
      <c r="R62" s="115"/>
      <c r="S62" s="153" t="s">
        <v>2860</v>
      </c>
      <c r="T62" s="127">
        <v>1810</v>
      </c>
      <c r="U62" s="95" t="s">
        <v>4452</v>
      </c>
      <c r="V62" s="94" t="s">
        <v>4327</v>
      </c>
      <c r="W62" s="67" t="s">
        <v>2597</v>
      </c>
    </row>
    <row r="63" spans="1:23">
      <c r="A63" s="326" t="s">
        <v>2618</v>
      </c>
      <c r="B63" s="329">
        <v>1905</v>
      </c>
      <c r="C63" s="326" t="s">
        <v>2617</v>
      </c>
      <c r="D63" s="326" t="s">
        <v>2619</v>
      </c>
      <c r="E63" s="326" t="s">
        <v>4751</v>
      </c>
      <c r="F63" s="326" t="s">
        <v>2620</v>
      </c>
      <c r="G63" s="116"/>
      <c r="H63" s="94"/>
      <c r="I63" s="94"/>
      <c r="J63" s="94"/>
      <c r="K63" s="94"/>
      <c r="L63" s="94"/>
      <c r="M63" s="94"/>
      <c r="N63" s="94"/>
      <c r="O63" s="115"/>
      <c r="P63" s="116"/>
      <c r="Q63" s="94"/>
      <c r="R63" s="115"/>
      <c r="S63" s="152" t="s">
        <v>2864</v>
      </c>
      <c r="T63" s="126">
        <v>1779</v>
      </c>
      <c r="U63" s="95" t="s">
        <v>4340</v>
      </c>
      <c r="V63" s="94" t="s">
        <v>4454</v>
      </c>
      <c r="W63" s="67" t="s">
        <v>2598</v>
      </c>
    </row>
    <row r="64" spans="1:23">
      <c r="A64" s="325" t="s">
        <v>4538</v>
      </c>
      <c r="B64" s="330">
        <v>1905</v>
      </c>
      <c r="C64" s="325" t="s">
        <v>4539</v>
      </c>
      <c r="D64" s="325" t="s">
        <v>4540</v>
      </c>
      <c r="E64" s="325" t="s">
        <v>4270</v>
      </c>
      <c r="F64" s="325" t="s">
        <v>2621</v>
      </c>
      <c r="G64" s="116"/>
      <c r="H64" s="94"/>
      <c r="I64" s="94"/>
      <c r="J64" s="94"/>
      <c r="K64" s="94"/>
      <c r="L64" s="94"/>
      <c r="M64" s="94"/>
      <c r="N64" s="94"/>
      <c r="O64" s="115"/>
      <c r="P64" s="116"/>
      <c r="Q64" s="94"/>
      <c r="R64" s="115"/>
      <c r="S64" s="153" t="s">
        <v>2868</v>
      </c>
      <c r="T64" s="127">
        <v>1807</v>
      </c>
      <c r="U64" s="95" t="s">
        <v>4453</v>
      </c>
      <c r="V64" s="94" t="s">
        <v>4454</v>
      </c>
      <c r="W64" s="67" t="s">
        <v>2599</v>
      </c>
    </row>
    <row r="65" spans="1:24">
      <c r="A65" s="326" t="s">
        <v>4271</v>
      </c>
      <c r="B65" s="329">
        <v>1905</v>
      </c>
      <c r="C65" s="326" t="s">
        <v>4272</v>
      </c>
      <c r="D65" s="326" t="s">
        <v>4273</v>
      </c>
      <c r="E65" s="326" t="s">
        <v>4913</v>
      </c>
      <c r="F65" s="326" t="s">
        <v>4869</v>
      </c>
      <c r="G65" s="116"/>
      <c r="H65" s="94"/>
      <c r="I65" s="94"/>
      <c r="J65" s="94"/>
      <c r="K65" s="94"/>
      <c r="L65" s="94"/>
      <c r="M65" s="94"/>
      <c r="N65" s="94"/>
      <c r="O65" s="115"/>
      <c r="P65" s="116"/>
      <c r="Q65" s="94"/>
      <c r="R65" s="115"/>
      <c r="S65" s="152" t="s">
        <v>2871</v>
      </c>
      <c r="T65" s="126">
        <v>1809</v>
      </c>
      <c r="U65" s="95" t="s">
        <v>4327</v>
      </c>
      <c r="V65" s="94" t="s">
        <v>4455</v>
      </c>
      <c r="W65" s="67" t="s">
        <v>4839</v>
      </c>
    </row>
    <row r="66" spans="1:24">
      <c r="A66" s="325" t="s">
        <v>4541</v>
      </c>
      <c r="B66" s="330">
        <v>1905</v>
      </c>
      <c r="C66" s="325" t="s">
        <v>4542</v>
      </c>
      <c r="D66" s="325" t="s">
        <v>4543</v>
      </c>
      <c r="E66" s="325" t="s">
        <v>4544</v>
      </c>
      <c r="F66" s="325" t="s">
        <v>2624</v>
      </c>
      <c r="G66" s="116"/>
      <c r="H66" s="94"/>
      <c r="I66" s="94"/>
      <c r="J66" s="94"/>
      <c r="K66" s="94"/>
      <c r="L66" s="94"/>
      <c r="M66" s="94"/>
      <c r="N66" s="94"/>
      <c r="O66" s="115"/>
      <c r="P66" s="116"/>
      <c r="Q66" s="94"/>
      <c r="R66" s="115"/>
      <c r="S66" s="153" t="s">
        <v>2875</v>
      </c>
      <c r="T66" s="127">
        <v>1805</v>
      </c>
      <c r="U66" s="95" t="s">
        <v>4454</v>
      </c>
      <c r="V66" s="94" t="s">
        <v>4232</v>
      </c>
      <c r="W66" s="67" t="s">
        <v>2600</v>
      </c>
    </row>
    <row r="67" spans="1:24">
      <c r="A67" s="326" t="s">
        <v>4274</v>
      </c>
      <c r="B67" s="329">
        <v>1905</v>
      </c>
      <c r="C67" s="326" t="s">
        <v>4275</v>
      </c>
      <c r="D67" s="326" t="s">
        <v>4276</v>
      </c>
      <c r="E67" s="326" t="s">
        <v>2626</v>
      </c>
      <c r="F67" s="326" t="s">
        <v>4914</v>
      </c>
      <c r="G67" s="116"/>
      <c r="H67" s="94"/>
      <c r="I67" s="94"/>
      <c r="J67" s="94"/>
      <c r="K67" s="94"/>
      <c r="L67" s="94"/>
      <c r="M67" s="94"/>
      <c r="N67" s="94"/>
      <c r="O67" s="115"/>
      <c r="P67" s="116"/>
      <c r="Q67" s="94"/>
      <c r="R67" s="115"/>
      <c r="S67" s="152" t="s">
        <v>2878</v>
      </c>
      <c r="T67" s="126">
        <v>1804</v>
      </c>
      <c r="U67" s="95" t="s">
        <v>4456</v>
      </c>
      <c r="V67" s="94" t="s">
        <v>4285</v>
      </c>
      <c r="W67" s="67" t="s">
        <v>2601</v>
      </c>
    </row>
    <row r="68" spans="1:24">
      <c r="A68" s="325" t="s">
        <v>4277</v>
      </c>
      <c r="B68" s="330">
        <v>1905</v>
      </c>
      <c r="C68" s="325" t="s">
        <v>4278</v>
      </c>
      <c r="D68" s="325" t="s">
        <v>4279</v>
      </c>
      <c r="E68" s="325"/>
      <c r="F68" s="325" t="s">
        <v>2072</v>
      </c>
      <c r="G68" s="116"/>
      <c r="H68" s="94"/>
      <c r="I68" s="94"/>
      <c r="J68" s="94"/>
      <c r="K68" s="94"/>
      <c r="L68" s="94"/>
      <c r="M68" s="94"/>
      <c r="N68" s="94"/>
      <c r="O68" s="115"/>
      <c r="P68" s="116"/>
      <c r="Q68" s="94"/>
      <c r="R68" s="115"/>
      <c r="S68" s="153" t="s">
        <v>2881</v>
      </c>
      <c r="T68" s="127">
        <v>1819</v>
      </c>
      <c r="U68" s="95" t="s">
        <v>4285</v>
      </c>
      <c r="V68" s="94" t="s">
        <v>4457</v>
      </c>
      <c r="W68" s="67" t="s">
        <v>2602</v>
      </c>
    </row>
    <row r="69" spans="1:24">
      <c r="A69" s="326" t="s">
        <v>4752</v>
      </c>
      <c r="B69" s="329">
        <v>1905</v>
      </c>
      <c r="C69" s="326" t="s">
        <v>4719</v>
      </c>
      <c r="D69" s="326" t="s">
        <v>4753</v>
      </c>
      <c r="E69" s="326" t="s">
        <v>4720</v>
      </c>
      <c r="F69" s="326" t="s">
        <v>2629</v>
      </c>
      <c r="G69" s="116"/>
      <c r="H69" s="94"/>
      <c r="I69" s="94"/>
      <c r="J69" s="94"/>
      <c r="K69" s="94"/>
      <c r="L69" s="94"/>
      <c r="M69" s="94"/>
      <c r="N69" s="94"/>
      <c r="O69" s="115"/>
      <c r="P69" s="116"/>
      <c r="Q69" s="94"/>
      <c r="R69" s="115"/>
      <c r="S69" s="152" t="s">
        <v>2884</v>
      </c>
      <c r="T69" s="126">
        <v>1804</v>
      </c>
      <c r="U69" s="95" t="s">
        <v>4457</v>
      </c>
      <c r="V69" s="94" t="s">
        <v>4261</v>
      </c>
      <c r="W69" s="67" t="s">
        <v>2603</v>
      </c>
    </row>
    <row r="70" spans="1:24">
      <c r="A70" s="327" t="s">
        <v>2701</v>
      </c>
      <c r="B70" s="330">
        <v>1905</v>
      </c>
      <c r="C70" s="327" t="s">
        <v>2328</v>
      </c>
      <c r="D70" s="327" t="s">
        <v>2703</v>
      </c>
      <c r="E70" s="327" t="s">
        <v>2704</v>
      </c>
      <c r="F70" s="327" t="s">
        <v>4280</v>
      </c>
      <c r="G70" s="116"/>
      <c r="H70" s="94"/>
      <c r="I70" s="94"/>
      <c r="J70" s="94"/>
      <c r="K70" s="94"/>
      <c r="L70" s="94"/>
      <c r="M70" s="94"/>
      <c r="N70" s="94"/>
      <c r="O70" s="115"/>
      <c r="P70" s="116"/>
      <c r="Q70" s="94"/>
      <c r="R70" s="115"/>
      <c r="S70" s="153" t="s">
        <v>2887</v>
      </c>
      <c r="T70" s="127">
        <v>1809</v>
      </c>
      <c r="U70" s="95" t="s">
        <v>4261</v>
      </c>
      <c r="V70" s="94" t="s">
        <v>4458</v>
      </c>
      <c r="W70" s="67" t="s">
        <v>2604</v>
      </c>
    </row>
    <row r="71" spans="1:24">
      <c r="A71" s="328" t="s">
        <v>4545</v>
      </c>
      <c r="B71" s="329">
        <v>1915</v>
      </c>
      <c r="C71" s="328" t="s">
        <v>4546</v>
      </c>
      <c r="D71" s="328" t="s">
        <v>4547</v>
      </c>
      <c r="E71" s="328" t="s">
        <v>22</v>
      </c>
      <c r="F71" s="328" t="s">
        <v>4548</v>
      </c>
      <c r="G71" s="116"/>
      <c r="H71" s="94"/>
      <c r="I71" s="94"/>
      <c r="J71" s="94"/>
      <c r="K71" s="94"/>
      <c r="L71" s="94"/>
      <c r="M71" s="94"/>
      <c r="N71" s="94"/>
      <c r="O71" s="115"/>
      <c r="P71" s="116"/>
      <c r="Q71" s="94"/>
      <c r="R71" s="115"/>
      <c r="S71" s="152" t="s">
        <v>2891</v>
      </c>
      <c r="T71" s="126">
        <v>1792</v>
      </c>
      <c r="U71" s="95" t="s">
        <v>4341</v>
      </c>
      <c r="V71" s="94"/>
      <c r="W71" s="67" t="s">
        <v>2605</v>
      </c>
    </row>
    <row r="72" spans="1:24">
      <c r="A72" s="327" t="s">
        <v>4549</v>
      </c>
      <c r="B72" s="330">
        <v>1915</v>
      </c>
      <c r="C72" s="327" t="s">
        <v>4550</v>
      </c>
      <c r="D72" s="327" t="s">
        <v>4551</v>
      </c>
      <c r="E72" s="327" t="s">
        <v>22</v>
      </c>
      <c r="F72" s="327" t="s">
        <v>4552</v>
      </c>
      <c r="G72" s="116"/>
      <c r="H72" s="94"/>
      <c r="I72" s="94"/>
      <c r="J72" s="94"/>
      <c r="K72" s="94"/>
      <c r="L72" s="94"/>
      <c r="M72" s="94"/>
      <c r="N72" s="94"/>
      <c r="O72" s="115"/>
      <c r="P72" s="116"/>
      <c r="Q72" s="94"/>
      <c r="R72" s="115"/>
      <c r="S72" s="153" t="s">
        <v>2895</v>
      </c>
      <c r="T72" s="127">
        <v>1799</v>
      </c>
      <c r="U72" s="95"/>
      <c r="V72" s="94" t="s">
        <v>4459</v>
      </c>
      <c r="W72" s="67" t="s">
        <v>2606</v>
      </c>
    </row>
    <row r="73" spans="1:24">
      <c r="A73" s="328" t="s">
        <v>4553</v>
      </c>
      <c r="B73" s="329">
        <v>1915</v>
      </c>
      <c r="C73" s="328" t="s">
        <v>4520</v>
      </c>
      <c r="D73" s="328" t="s">
        <v>4554</v>
      </c>
      <c r="E73" s="328" t="s">
        <v>22</v>
      </c>
      <c r="F73" s="328" t="s">
        <v>4555</v>
      </c>
      <c r="G73" s="116"/>
      <c r="H73" s="94"/>
      <c r="I73" s="94"/>
      <c r="J73" s="94"/>
      <c r="K73" s="94"/>
      <c r="L73" s="94"/>
      <c r="M73" s="94"/>
      <c r="N73" s="94"/>
      <c r="O73" s="115"/>
      <c r="P73" s="116"/>
      <c r="Q73" s="94"/>
      <c r="R73" s="115"/>
      <c r="S73" s="152" t="s">
        <v>2899</v>
      </c>
      <c r="T73" s="126">
        <v>1809</v>
      </c>
      <c r="U73" s="95" t="s">
        <v>4460</v>
      </c>
      <c r="V73" s="94" t="s">
        <v>4461</v>
      </c>
      <c r="W73" s="67" t="s">
        <v>2607</v>
      </c>
    </row>
    <row r="74" spans="1:24">
      <c r="A74" s="327" t="s">
        <v>4281</v>
      </c>
      <c r="B74" s="330">
        <v>1915</v>
      </c>
      <c r="C74" s="327" t="s">
        <v>4282</v>
      </c>
      <c r="D74" s="327" t="s">
        <v>4283</v>
      </c>
      <c r="E74" s="327" t="s">
        <v>2683</v>
      </c>
      <c r="F74" s="327" t="s">
        <v>28</v>
      </c>
      <c r="G74" s="116"/>
      <c r="H74" s="94"/>
      <c r="I74" s="94"/>
      <c r="J74" s="94"/>
      <c r="K74" s="94"/>
      <c r="L74" s="94"/>
      <c r="M74" s="94"/>
      <c r="N74" s="94"/>
      <c r="O74" s="115"/>
      <c r="P74" s="116"/>
      <c r="Q74" s="94"/>
      <c r="R74" s="115"/>
      <c r="S74" s="153" t="s">
        <v>2902</v>
      </c>
      <c r="T74" s="127">
        <v>1789</v>
      </c>
      <c r="U74" s="95" t="s">
        <v>4462</v>
      </c>
      <c r="V74" s="94" t="s">
        <v>4463</v>
      </c>
      <c r="W74" s="67" t="s">
        <v>4584</v>
      </c>
      <c r="X74" s="117"/>
    </row>
    <row r="75" spans="1:24">
      <c r="A75" s="328" t="s">
        <v>4284</v>
      </c>
      <c r="B75" s="329">
        <v>1915</v>
      </c>
      <c r="C75" s="328" t="s">
        <v>4278</v>
      </c>
      <c r="D75" s="328" t="s">
        <v>4279</v>
      </c>
      <c r="E75" s="328" t="s">
        <v>4285</v>
      </c>
      <c r="F75" s="328" t="s">
        <v>29</v>
      </c>
      <c r="G75" s="116"/>
      <c r="H75" s="94"/>
      <c r="I75" s="94"/>
      <c r="J75" s="94"/>
      <c r="K75" s="94"/>
      <c r="L75" s="94"/>
      <c r="M75" s="94"/>
      <c r="N75" s="94"/>
      <c r="O75" s="115"/>
      <c r="P75" s="116"/>
      <c r="Q75" s="94"/>
      <c r="R75" s="115"/>
      <c r="S75" s="152" t="s">
        <v>2906</v>
      </c>
      <c r="T75" s="126">
        <v>1812</v>
      </c>
      <c r="U75" s="95" t="s">
        <v>4464</v>
      </c>
      <c r="V75" s="94" t="s">
        <v>4465</v>
      </c>
      <c r="W75" s="67" t="s">
        <v>4536</v>
      </c>
      <c r="X75" s="117"/>
    </row>
    <row r="76" spans="1:24">
      <c r="A76" s="327" t="s">
        <v>2540</v>
      </c>
      <c r="B76" s="330">
        <v>1915</v>
      </c>
      <c r="C76" s="327"/>
      <c r="D76" s="327"/>
      <c r="E76" s="327" t="s">
        <v>4286</v>
      </c>
      <c r="F76" s="327"/>
      <c r="G76" s="116"/>
      <c r="H76" s="94"/>
      <c r="I76" s="94"/>
      <c r="J76" s="94"/>
      <c r="K76" s="94"/>
      <c r="L76" s="94"/>
      <c r="M76" s="94"/>
      <c r="N76" s="94"/>
      <c r="O76" s="115"/>
      <c r="P76" s="116"/>
      <c r="Q76" s="94"/>
      <c r="R76" s="115"/>
      <c r="S76" s="153" t="s">
        <v>2909</v>
      </c>
      <c r="T76" s="127">
        <v>1817</v>
      </c>
      <c r="U76" s="95"/>
      <c r="V76" s="94" t="s">
        <v>4466</v>
      </c>
      <c r="W76" s="67" t="s">
        <v>4514</v>
      </c>
    </row>
    <row r="77" spans="1:24">
      <c r="A77" s="328" t="s">
        <v>4287</v>
      </c>
      <c r="B77" s="329">
        <v>1915</v>
      </c>
      <c r="C77" s="328" t="s">
        <v>4288</v>
      </c>
      <c r="D77" s="328" t="s">
        <v>4289</v>
      </c>
      <c r="E77" s="328" t="s">
        <v>5090</v>
      </c>
      <c r="F77" s="328" t="s">
        <v>32</v>
      </c>
      <c r="G77" s="116"/>
      <c r="H77" s="94"/>
      <c r="I77" s="94"/>
      <c r="J77" s="94"/>
      <c r="K77" s="94"/>
      <c r="L77" s="94"/>
      <c r="M77" s="94"/>
      <c r="N77" s="94"/>
      <c r="O77" s="115"/>
      <c r="P77" s="116"/>
      <c r="Q77" s="94"/>
      <c r="R77" s="115"/>
      <c r="S77" s="152" t="s">
        <v>4876</v>
      </c>
      <c r="T77" s="126">
        <v>1817</v>
      </c>
      <c r="U77" s="95" t="s">
        <v>204</v>
      </c>
      <c r="V77" s="94" t="s">
        <v>4467</v>
      </c>
      <c r="W77" s="67" t="s">
        <v>4516</v>
      </c>
      <c r="X77" s="117"/>
    </row>
    <row r="78" spans="1:24">
      <c r="A78" s="327" t="s">
        <v>4290</v>
      </c>
      <c r="B78" s="330">
        <v>1915</v>
      </c>
      <c r="C78" s="327" t="s">
        <v>4249</v>
      </c>
      <c r="D78" s="327" t="s">
        <v>4251</v>
      </c>
      <c r="E78" s="327" t="s">
        <v>175</v>
      </c>
      <c r="F78" s="327" t="s">
        <v>4291</v>
      </c>
      <c r="G78" s="116"/>
      <c r="H78" s="94"/>
      <c r="I78" s="94"/>
      <c r="J78" s="94"/>
      <c r="K78" s="94"/>
      <c r="L78" s="94"/>
      <c r="M78" s="94"/>
      <c r="N78" s="94"/>
      <c r="O78" s="115"/>
      <c r="P78" s="116"/>
      <c r="Q78" s="94"/>
      <c r="R78" s="115"/>
      <c r="S78" s="153" t="s">
        <v>2914</v>
      </c>
      <c r="T78" s="127">
        <v>1800</v>
      </c>
      <c r="U78" s="95"/>
      <c r="V78" s="94" t="s">
        <v>4277</v>
      </c>
      <c r="W78" s="67" t="s">
        <v>4566</v>
      </c>
    </row>
    <row r="79" spans="1:24">
      <c r="A79" s="328" t="s">
        <v>4754</v>
      </c>
      <c r="B79" s="329">
        <v>1915</v>
      </c>
      <c r="C79" s="328" t="s">
        <v>4755</v>
      </c>
      <c r="D79" s="328" t="s">
        <v>4756</v>
      </c>
      <c r="E79" s="328"/>
      <c r="F79" s="328" t="s">
        <v>4757</v>
      </c>
      <c r="G79" s="116"/>
      <c r="H79" s="94"/>
      <c r="I79" s="94"/>
      <c r="J79" s="94"/>
      <c r="K79" s="94"/>
      <c r="L79" s="94"/>
      <c r="M79" s="94"/>
      <c r="N79" s="94"/>
      <c r="O79" s="115"/>
      <c r="P79" s="116"/>
      <c r="Q79" s="94"/>
      <c r="R79" s="115"/>
      <c r="S79" s="152" t="s">
        <v>2917</v>
      </c>
      <c r="T79" s="126">
        <v>1814</v>
      </c>
      <c r="U79" s="95" t="s">
        <v>205</v>
      </c>
      <c r="V79" s="94" t="s">
        <v>4468</v>
      </c>
      <c r="W79" s="118" t="s">
        <v>4633</v>
      </c>
    </row>
    <row r="80" spans="1:24">
      <c r="A80" s="327" t="s">
        <v>4292</v>
      </c>
      <c r="B80" s="330">
        <v>1915</v>
      </c>
      <c r="C80" s="327" t="s">
        <v>4293</v>
      </c>
      <c r="D80" s="327" t="s">
        <v>4294</v>
      </c>
      <c r="E80" s="327" t="s">
        <v>4295</v>
      </c>
      <c r="F80" s="327" t="s">
        <v>35</v>
      </c>
      <c r="G80" s="116"/>
      <c r="H80" s="94"/>
      <c r="I80" s="94"/>
      <c r="J80" s="94"/>
      <c r="K80" s="94"/>
      <c r="L80" s="94"/>
      <c r="M80" s="94"/>
      <c r="N80" s="94"/>
      <c r="O80" s="115"/>
      <c r="P80" s="116"/>
      <c r="Q80" s="94"/>
      <c r="R80" s="115"/>
      <c r="S80" s="153" t="s">
        <v>2920</v>
      </c>
      <c r="T80" s="127">
        <v>1806</v>
      </c>
      <c r="U80" s="95"/>
      <c r="V80" s="94" t="s">
        <v>4469</v>
      </c>
      <c r="W80" s="118"/>
    </row>
    <row r="81" spans="1:23">
      <c r="A81" s="328" t="s">
        <v>37</v>
      </c>
      <c r="B81" s="329">
        <v>1915</v>
      </c>
      <c r="C81" s="328" t="s">
        <v>38</v>
      </c>
      <c r="D81" s="328" t="s">
        <v>2678</v>
      </c>
      <c r="E81" s="328" t="s">
        <v>4296</v>
      </c>
      <c r="F81" s="328"/>
      <c r="G81" s="116"/>
      <c r="H81" s="94"/>
      <c r="I81" s="94"/>
      <c r="J81" s="94"/>
      <c r="K81" s="94"/>
      <c r="L81" s="94"/>
      <c r="M81" s="94"/>
      <c r="N81" s="94"/>
      <c r="O81" s="115"/>
      <c r="P81" s="116"/>
      <c r="Q81" s="94"/>
      <c r="R81" s="115"/>
      <c r="S81" s="152" t="s">
        <v>2924</v>
      </c>
      <c r="T81" s="126">
        <v>1821</v>
      </c>
      <c r="U81" s="95" t="s">
        <v>206</v>
      </c>
      <c r="V81" s="94" t="s">
        <v>4470</v>
      </c>
      <c r="W81" s="67" t="s">
        <v>4515</v>
      </c>
    </row>
    <row r="82" spans="1:23">
      <c r="A82" s="327" t="s">
        <v>4556</v>
      </c>
      <c r="B82" s="330">
        <v>1915</v>
      </c>
      <c r="C82" s="327" t="s">
        <v>4557</v>
      </c>
      <c r="D82" s="327" t="s">
        <v>4558</v>
      </c>
      <c r="E82" s="327" t="s">
        <v>4559</v>
      </c>
      <c r="F82" s="327" t="s">
        <v>5091</v>
      </c>
      <c r="G82" s="116"/>
      <c r="H82" s="94"/>
      <c r="I82" s="94"/>
      <c r="J82" s="94"/>
      <c r="K82" s="94"/>
      <c r="L82" s="94"/>
      <c r="M82" s="94"/>
      <c r="N82" s="94"/>
      <c r="O82" s="115"/>
      <c r="P82" s="116"/>
      <c r="Q82" s="94"/>
      <c r="R82" s="115"/>
      <c r="S82" s="153" t="s">
        <v>2928</v>
      </c>
      <c r="T82" s="127">
        <v>1787</v>
      </c>
      <c r="U82" s="95"/>
      <c r="V82" s="94" t="s">
        <v>4471</v>
      </c>
      <c r="W82" s="67" t="s">
        <v>4518</v>
      </c>
    </row>
    <row r="83" spans="1:23">
      <c r="A83" s="328" t="s">
        <v>4297</v>
      </c>
      <c r="B83" s="329">
        <v>1919</v>
      </c>
      <c r="C83" s="328" t="s">
        <v>4298</v>
      </c>
      <c r="D83" s="328" t="s">
        <v>4277</v>
      </c>
      <c r="E83" s="328" t="s">
        <v>3308</v>
      </c>
      <c r="F83" s="328" t="s">
        <v>4299</v>
      </c>
      <c r="G83" s="116"/>
      <c r="H83" s="94"/>
      <c r="I83" s="94"/>
      <c r="J83" s="94"/>
      <c r="K83" s="94"/>
      <c r="L83" s="94"/>
      <c r="M83" s="94"/>
      <c r="N83" s="94"/>
      <c r="O83" s="115"/>
      <c r="P83" s="116"/>
      <c r="Q83" s="94"/>
      <c r="R83" s="115"/>
      <c r="S83" s="152" t="s">
        <v>2932</v>
      </c>
      <c r="T83" s="126">
        <v>1786</v>
      </c>
      <c r="U83" s="95"/>
      <c r="V83" s="94" t="s">
        <v>4472</v>
      </c>
      <c r="W83" s="67" t="s">
        <v>2608</v>
      </c>
    </row>
    <row r="84" spans="1:23">
      <c r="A84" s="327" t="s">
        <v>3317</v>
      </c>
      <c r="B84" s="331">
        <v>1909</v>
      </c>
      <c r="C84" s="327" t="s">
        <v>3318</v>
      </c>
      <c r="D84" s="327" t="s">
        <v>3319</v>
      </c>
      <c r="E84" s="327"/>
      <c r="F84" s="327"/>
      <c r="G84" s="116"/>
      <c r="H84" s="94"/>
      <c r="I84" s="94"/>
      <c r="J84" s="94"/>
      <c r="K84" s="94"/>
      <c r="L84" s="94"/>
      <c r="M84" s="94"/>
      <c r="N84" s="94"/>
      <c r="O84" s="115"/>
      <c r="P84" s="116"/>
      <c r="Q84" s="94"/>
      <c r="R84" s="115"/>
      <c r="S84" s="153" t="s">
        <v>2935</v>
      </c>
      <c r="T84" s="127">
        <v>1803</v>
      </c>
      <c r="U84" s="95" t="s">
        <v>207</v>
      </c>
      <c r="V84" s="94" t="s">
        <v>4473</v>
      </c>
      <c r="W84" s="67" t="s">
        <v>4537</v>
      </c>
    </row>
    <row r="85" spans="1:23">
      <c r="A85" s="328" t="s">
        <v>3322</v>
      </c>
      <c r="B85" s="332">
        <v>1879</v>
      </c>
      <c r="C85" s="328" t="s">
        <v>3323</v>
      </c>
      <c r="D85" s="328" t="s">
        <v>3324</v>
      </c>
      <c r="E85" s="328" t="s">
        <v>4510</v>
      </c>
      <c r="F85" s="328" t="s">
        <v>3325</v>
      </c>
      <c r="G85" s="116"/>
      <c r="H85" s="94"/>
      <c r="I85" s="94"/>
      <c r="J85" s="94"/>
      <c r="K85" s="94"/>
      <c r="L85" s="94"/>
      <c r="M85" s="94"/>
      <c r="N85" s="94"/>
      <c r="O85" s="115"/>
      <c r="P85" s="116"/>
      <c r="Q85" s="94"/>
      <c r="R85" s="115"/>
      <c r="S85" s="152" t="s">
        <v>2939</v>
      </c>
      <c r="T85" s="126">
        <v>1801</v>
      </c>
      <c r="U85" s="95"/>
      <c r="V85" s="94" t="s">
        <v>4474</v>
      </c>
    </row>
    <row r="86" spans="1:23">
      <c r="A86" s="327" t="s">
        <v>4758</v>
      </c>
      <c r="B86" s="331">
        <v>1879</v>
      </c>
      <c r="C86" s="327" t="s">
        <v>4759</v>
      </c>
      <c r="D86" s="327" t="s">
        <v>4759</v>
      </c>
      <c r="E86" s="327" t="s">
        <v>3329</v>
      </c>
      <c r="F86" s="327" t="s">
        <v>4760</v>
      </c>
      <c r="G86" s="116"/>
      <c r="H86" s="94"/>
      <c r="I86" s="94"/>
      <c r="J86" s="94"/>
      <c r="K86" s="94"/>
      <c r="L86" s="94"/>
      <c r="M86" s="94"/>
      <c r="N86" s="94"/>
      <c r="O86" s="115"/>
      <c r="P86" s="116"/>
      <c r="Q86" s="94"/>
      <c r="R86" s="115"/>
      <c r="S86" s="153" t="s">
        <v>2943</v>
      </c>
      <c r="T86" s="127">
        <v>1814</v>
      </c>
      <c r="U86" s="95" t="s">
        <v>208</v>
      </c>
      <c r="V86" s="94" t="s">
        <v>4273</v>
      </c>
    </row>
    <row r="87" spans="1:23">
      <c r="A87" s="328" t="s">
        <v>4300</v>
      </c>
      <c r="B87" s="332">
        <v>1879</v>
      </c>
      <c r="C87" s="328" t="s">
        <v>4301</v>
      </c>
      <c r="D87" s="328" t="s">
        <v>4302</v>
      </c>
      <c r="E87" s="328"/>
      <c r="F87" s="328" t="s">
        <v>4915</v>
      </c>
      <c r="G87" s="116"/>
      <c r="H87" s="94"/>
      <c r="I87" s="94"/>
      <c r="J87" s="94"/>
      <c r="K87" s="94"/>
      <c r="L87" s="94"/>
      <c r="M87" s="94"/>
      <c r="N87" s="94"/>
      <c r="O87" s="115"/>
      <c r="P87" s="116"/>
      <c r="Q87" s="94"/>
      <c r="R87" s="115"/>
      <c r="S87" s="152" t="s">
        <v>2946</v>
      </c>
      <c r="T87" s="126">
        <v>1789</v>
      </c>
      <c r="U87" s="95"/>
      <c r="V87" s="94" t="s">
        <v>4351</v>
      </c>
    </row>
    <row r="88" spans="1:23">
      <c r="A88" s="327" t="s">
        <v>4762</v>
      </c>
      <c r="B88" s="331">
        <v>1879</v>
      </c>
      <c r="C88" s="327" t="s">
        <v>4763</v>
      </c>
      <c r="D88" s="327" t="s">
        <v>4764</v>
      </c>
      <c r="E88" s="327" t="s">
        <v>4917</v>
      </c>
      <c r="F88" s="327" t="s">
        <v>3340</v>
      </c>
      <c r="G88" s="116"/>
      <c r="H88" s="94"/>
      <c r="I88" s="94"/>
      <c r="J88" s="94"/>
      <c r="K88" s="94"/>
      <c r="L88" s="94"/>
      <c r="M88" s="94"/>
      <c r="N88" s="94"/>
      <c r="O88" s="115"/>
      <c r="P88" s="116"/>
      <c r="Q88" s="94"/>
      <c r="R88" s="115"/>
      <c r="S88" s="153" t="s">
        <v>2949</v>
      </c>
      <c r="T88" s="127">
        <v>1787</v>
      </c>
      <c r="U88" s="95" t="s">
        <v>209</v>
      </c>
      <c r="V88" s="94" t="s">
        <v>4475</v>
      </c>
    </row>
    <row r="89" spans="1:23">
      <c r="A89" s="328" t="s">
        <v>4303</v>
      </c>
      <c r="B89" s="332">
        <v>1879</v>
      </c>
      <c r="C89" s="328" t="s">
        <v>4304</v>
      </c>
      <c r="D89" s="328" t="s">
        <v>4305</v>
      </c>
      <c r="E89" s="328" t="s">
        <v>4278</v>
      </c>
      <c r="F89" s="328" t="s">
        <v>4255</v>
      </c>
      <c r="G89" s="116"/>
      <c r="H89" s="94"/>
      <c r="I89" s="94"/>
      <c r="J89" s="94"/>
      <c r="K89" s="94"/>
      <c r="L89" s="94"/>
      <c r="M89" s="94"/>
      <c r="N89" s="94"/>
      <c r="O89" s="115"/>
      <c r="P89" s="116"/>
      <c r="Q89" s="94"/>
      <c r="R89" s="115"/>
      <c r="S89" s="152" t="s">
        <v>2953</v>
      </c>
      <c r="T89" s="126">
        <v>1799</v>
      </c>
      <c r="U89" s="95"/>
      <c r="V89" s="94" t="s">
        <v>4475</v>
      </c>
    </row>
    <row r="90" spans="1:23">
      <c r="A90" s="327" t="s">
        <v>4306</v>
      </c>
      <c r="B90" s="331">
        <v>1879</v>
      </c>
      <c r="C90" s="327" t="s">
        <v>4227</v>
      </c>
      <c r="D90" s="327" t="s">
        <v>4228</v>
      </c>
      <c r="E90" s="327" t="s">
        <v>4918</v>
      </c>
      <c r="F90" s="327" t="s">
        <v>4307</v>
      </c>
      <c r="G90" s="116"/>
      <c r="H90" s="94"/>
      <c r="I90" s="94"/>
      <c r="J90" s="94"/>
      <c r="K90" s="94"/>
      <c r="L90" s="94"/>
      <c r="M90" s="94"/>
      <c r="N90" s="94"/>
      <c r="O90" s="115"/>
      <c r="P90" s="116"/>
      <c r="Q90" s="94"/>
      <c r="R90" s="115"/>
      <c r="S90" s="153" t="s">
        <v>2957</v>
      </c>
      <c r="T90" s="127">
        <v>1788</v>
      </c>
      <c r="U90" s="95" t="s">
        <v>4840</v>
      </c>
      <c r="V90" s="94" t="s">
        <v>4475</v>
      </c>
    </row>
    <row r="91" spans="1:23">
      <c r="A91" s="257" t="s">
        <v>4308</v>
      </c>
      <c r="B91" s="332">
        <v>1878</v>
      </c>
      <c r="C91" s="257" t="s">
        <v>4309</v>
      </c>
      <c r="D91" s="257" t="s">
        <v>4310</v>
      </c>
      <c r="E91" s="328" t="s">
        <v>4301</v>
      </c>
      <c r="F91" s="328" t="s">
        <v>3349</v>
      </c>
      <c r="G91" s="116"/>
      <c r="H91" s="94"/>
      <c r="I91" s="94"/>
      <c r="J91" s="94"/>
      <c r="K91" s="94"/>
      <c r="L91" s="94"/>
      <c r="M91" s="94"/>
      <c r="N91" s="94"/>
      <c r="O91" s="115"/>
      <c r="P91" s="116"/>
      <c r="Q91" s="94"/>
      <c r="R91" s="115"/>
      <c r="S91" s="152" t="s">
        <v>2960</v>
      </c>
      <c r="T91" s="126">
        <v>1785</v>
      </c>
      <c r="U91" s="95" t="s">
        <v>4739</v>
      </c>
      <c r="V91" s="19" t="s">
        <v>4248</v>
      </c>
    </row>
    <row r="92" spans="1:23">
      <c r="A92" s="327" t="s">
        <v>4311</v>
      </c>
      <c r="B92" s="331">
        <v>1857</v>
      </c>
      <c r="C92" s="327" t="s">
        <v>4312</v>
      </c>
      <c r="D92" s="327" t="s">
        <v>4313</v>
      </c>
      <c r="E92" s="327" t="s">
        <v>3363</v>
      </c>
      <c r="F92" s="327" t="s">
        <v>4314</v>
      </c>
      <c r="G92" s="116"/>
      <c r="H92" s="94"/>
      <c r="I92" s="94"/>
      <c r="J92" s="94"/>
      <c r="K92" s="94"/>
      <c r="L92" s="94"/>
      <c r="M92" s="94"/>
      <c r="N92" s="94"/>
      <c r="O92" s="115"/>
      <c r="P92" s="116"/>
      <c r="Q92" s="94"/>
      <c r="R92" s="115"/>
      <c r="S92" s="153" t="s">
        <v>2963</v>
      </c>
      <c r="T92" s="127">
        <v>1812</v>
      </c>
      <c r="U92" s="95" t="s">
        <v>4771</v>
      </c>
      <c r="V92" s="94" t="s">
        <v>4476</v>
      </c>
    </row>
    <row r="93" spans="1:23">
      <c r="A93" s="194" t="s">
        <v>4315</v>
      </c>
      <c r="B93" s="332">
        <v>1881</v>
      </c>
      <c r="C93" s="257" t="s">
        <v>4309</v>
      </c>
      <c r="D93" s="257" t="s">
        <v>4310</v>
      </c>
      <c r="E93" s="328" t="s">
        <v>4235</v>
      </c>
      <c r="F93" s="328" t="s">
        <v>4316</v>
      </c>
      <c r="G93" s="116"/>
      <c r="H93" s="94"/>
      <c r="I93" s="94"/>
      <c r="J93" s="94"/>
      <c r="K93" s="94"/>
      <c r="L93" s="94"/>
      <c r="M93" s="94"/>
      <c r="N93" s="94"/>
      <c r="O93" s="115"/>
      <c r="P93" s="116"/>
      <c r="Q93" s="94"/>
      <c r="R93" s="115"/>
      <c r="S93" s="152" t="s">
        <v>2967</v>
      </c>
      <c r="T93" s="126">
        <v>1818</v>
      </c>
      <c r="U93" s="95" t="s">
        <v>4748</v>
      </c>
      <c r="V93" s="94" t="s">
        <v>4371</v>
      </c>
    </row>
    <row r="94" spans="1:23">
      <c r="A94" s="278" t="s">
        <v>4919</v>
      </c>
      <c r="B94" s="331">
        <v>1882</v>
      </c>
      <c r="C94" s="278" t="s">
        <v>4920</v>
      </c>
      <c r="D94" s="278" t="s">
        <v>4921</v>
      </c>
      <c r="E94" s="279" t="s">
        <v>4922</v>
      </c>
      <c r="F94" s="327" t="s">
        <v>4923</v>
      </c>
      <c r="G94" s="116"/>
      <c r="H94" s="94"/>
      <c r="I94" s="94"/>
      <c r="J94" s="94"/>
      <c r="K94" s="94"/>
      <c r="L94" s="94"/>
      <c r="M94" s="94"/>
      <c r="N94" s="94"/>
      <c r="O94" s="115"/>
      <c r="P94" s="116"/>
      <c r="Q94" s="94"/>
      <c r="R94" s="115"/>
      <c r="S94" s="153" t="s">
        <v>2971</v>
      </c>
      <c r="T94" s="127">
        <v>1817</v>
      </c>
      <c r="U94" s="95" t="s">
        <v>4763</v>
      </c>
      <c r="V94" s="94" t="s">
        <v>4477</v>
      </c>
    </row>
    <row r="95" spans="1:23">
      <c r="A95" s="328" t="s">
        <v>4560</v>
      </c>
      <c r="B95" s="332">
        <v>1883</v>
      </c>
      <c r="C95" s="328" t="s">
        <v>4561</v>
      </c>
      <c r="D95" s="328" t="s">
        <v>4562</v>
      </c>
      <c r="E95" s="328" t="s">
        <v>4074</v>
      </c>
      <c r="F95" s="328" t="s">
        <v>4075</v>
      </c>
      <c r="G95" s="116"/>
      <c r="H95" s="94"/>
      <c r="I95" s="94"/>
      <c r="J95" s="94"/>
      <c r="K95" s="94"/>
      <c r="L95" s="94"/>
      <c r="M95" s="94"/>
      <c r="N95" s="94"/>
      <c r="O95" s="115"/>
      <c r="P95" s="116"/>
      <c r="Q95" s="94"/>
      <c r="R95" s="115"/>
      <c r="S95" s="152" t="s">
        <v>2974</v>
      </c>
      <c r="T95" s="126">
        <v>1812</v>
      </c>
      <c r="U95" s="95" t="s">
        <v>4726</v>
      </c>
      <c r="V95" s="94" t="s">
        <v>4478</v>
      </c>
    </row>
    <row r="96" spans="1:23">
      <c r="A96" s="327" t="s">
        <v>4765</v>
      </c>
      <c r="B96" s="331">
        <v>1883</v>
      </c>
      <c r="C96" s="327" t="s">
        <v>4763</v>
      </c>
      <c r="D96" s="327" t="s">
        <v>4764</v>
      </c>
      <c r="E96" s="327" t="s">
        <v>4766</v>
      </c>
      <c r="F96" s="327" t="s">
        <v>4080</v>
      </c>
      <c r="G96" s="116"/>
      <c r="H96" s="94"/>
      <c r="I96" s="94"/>
      <c r="J96" s="94"/>
      <c r="K96" s="94"/>
      <c r="L96" s="94"/>
      <c r="M96" s="94"/>
      <c r="N96" s="94"/>
      <c r="O96" s="115"/>
      <c r="P96" s="116"/>
      <c r="Q96" s="94"/>
      <c r="R96" s="115"/>
      <c r="S96" s="153" t="s">
        <v>2976</v>
      </c>
      <c r="T96" s="127">
        <v>1805</v>
      </c>
      <c r="U96" s="95" t="s">
        <v>4724</v>
      </c>
      <c r="V96" s="94" t="s">
        <v>4479</v>
      </c>
    </row>
    <row r="97" spans="1:22">
      <c r="A97" s="326" t="s">
        <v>4317</v>
      </c>
      <c r="B97" s="332">
        <v>1883</v>
      </c>
      <c r="C97" s="326" t="s">
        <v>4318</v>
      </c>
      <c r="D97" s="326" t="s">
        <v>4319</v>
      </c>
      <c r="E97" s="326" t="s">
        <v>4235</v>
      </c>
      <c r="F97" s="326" t="s">
        <v>4320</v>
      </c>
      <c r="G97" s="116"/>
      <c r="H97" s="94"/>
      <c r="I97" s="94"/>
      <c r="J97" s="94"/>
      <c r="K97" s="94"/>
      <c r="L97" s="94"/>
      <c r="M97" s="94"/>
      <c r="N97" s="94"/>
      <c r="O97" s="115"/>
      <c r="P97" s="116"/>
      <c r="Q97" s="94"/>
      <c r="R97" s="115"/>
      <c r="S97" s="152" t="s">
        <v>2599</v>
      </c>
      <c r="T97" s="126">
        <v>1787</v>
      </c>
      <c r="U97" s="95" t="s">
        <v>4841</v>
      </c>
      <c r="V97" s="94" t="s">
        <v>4480</v>
      </c>
    </row>
    <row r="98" spans="1:22">
      <c r="A98" s="66" t="s">
        <v>4322</v>
      </c>
      <c r="B98" s="331">
        <v>1882</v>
      </c>
      <c r="C98" s="325" t="s">
        <v>4301</v>
      </c>
      <c r="D98" s="325" t="s">
        <v>4302</v>
      </c>
      <c r="E98" s="325" t="s">
        <v>4323</v>
      </c>
      <c r="F98" s="325" t="s">
        <v>4924</v>
      </c>
      <c r="G98" s="116"/>
      <c r="H98" s="94"/>
      <c r="I98" s="94"/>
      <c r="J98" s="94"/>
      <c r="K98" s="94"/>
      <c r="L98" s="94"/>
      <c r="M98" s="94"/>
      <c r="N98" s="94"/>
      <c r="O98" s="115"/>
      <c r="P98" s="116"/>
      <c r="Q98" s="94"/>
      <c r="R98" s="115"/>
      <c r="S98" s="153" t="s">
        <v>2983</v>
      </c>
      <c r="T98" s="127">
        <v>1827</v>
      </c>
      <c r="U98" s="95" t="s">
        <v>4751</v>
      </c>
      <c r="V98" s="94" t="s">
        <v>4409</v>
      </c>
    </row>
    <row r="99" spans="1:22">
      <c r="A99" s="265" t="s">
        <v>4514</v>
      </c>
      <c r="B99" s="332">
        <v>1882</v>
      </c>
      <c r="C99" s="265" t="s">
        <v>4563</v>
      </c>
      <c r="D99" s="265" t="s">
        <v>4564</v>
      </c>
      <c r="E99" s="326" t="s">
        <v>4516</v>
      </c>
      <c r="F99" s="326" t="s">
        <v>4099</v>
      </c>
      <c r="G99" s="116"/>
      <c r="H99" s="94"/>
      <c r="I99" s="94"/>
      <c r="J99" s="94"/>
      <c r="K99" s="94"/>
      <c r="L99" s="94"/>
      <c r="M99" s="94"/>
      <c r="N99" s="94"/>
      <c r="O99" s="115"/>
      <c r="P99" s="116"/>
      <c r="Q99" s="94"/>
      <c r="R99" s="115"/>
      <c r="S99" s="152" t="s">
        <v>2987</v>
      </c>
      <c r="T99" s="126">
        <v>1794</v>
      </c>
      <c r="U99" s="95" t="s">
        <v>4842</v>
      </c>
      <c r="V99" s="94" t="s">
        <v>4481</v>
      </c>
    </row>
    <row r="100" spans="1:22">
      <c r="A100" s="278" t="s">
        <v>4767</v>
      </c>
      <c r="B100" s="331">
        <v>1884</v>
      </c>
      <c r="C100" s="327"/>
      <c r="D100" s="278" t="s">
        <v>4768</v>
      </c>
      <c r="E100" s="327"/>
      <c r="F100" s="327" t="s">
        <v>4105</v>
      </c>
      <c r="G100" s="116"/>
      <c r="H100" s="94"/>
      <c r="I100" s="94"/>
      <c r="J100" s="94"/>
      <c r="K100" s="94"/>
      <c r="L100" s="94"/>
      <c r="M100" s="94"/>
      <c r="N100" s="94"/>
      <c r="O100" s="115"/>
      <c r="P100" s="116"/>
      <c r="Q100" s="94"/>
      <c r="R100" s="115"/>
      <c r="S100" s="153" t="s">
        <v>2990</v>
      </c>
      <c r="T100" s="127">
        <v>1816</v>
      </c>
      <c r="U100" s="95" t="s">
        <v>4737</v>
      </c>
      <c r="V100" s="94" t="s">
        <v>4482</v>
      </c>
    </row>
    <row r="101" spans="1:22">
      <c r="A101" s="100"/>
      <c r="B101" s="100"/>
      <c r="C101" s="100"/>
      <c r="D101" s="100"/>
      <c r="E101" s="100"/>
      <c r="G101" s="100"/>
      <c r="H101" s="100"/>
      <c r="I101" s="100"/>
      <c r="J101" s="100"/>
      <c r="K101" s="100"/>
      <c r="L101" s="100"/>
      <c r="M101" s="100"/>
      <c r="N101" s="100"/>
      <c r="O101" s="119"/>
      <c r="P101" s="100"/>
      <c r="Q101" s="100"/>
      <c r="R101" s="119"/>
      <c r="S101" s="152" t="s">
        <v>2993</v>
      </c>
      <c r="T101" s="126">
        <v>1817</v>
      </c>
      <c r="U101" s="95" t="s">
        <v>4775</v>
      </c>
      <c r="V101" s="94" t="s">
        <v>4483</v>
      </c>
    </row>
    <row r="102" spans="1:22">
      <c r="A102" s="100"/>
      <c r="B102" s="100"/>
      <c r="C102" s="100"/>
      <c r="D102" s="100"/>
      <c r="E102" s="100"/>
      <c r="G102" s="100"/>
      <c r="H102" s="100"/>
      <c r="I102" s="100"/>
      <c r="J102" s="100"/>
      <c r="K102" s="100"/>
      <c r="L102" s="100"/>
      <c r="M102" s="100"/>
      <c r="N102" s="100"/>
      <c r="O102" s="119"/>
      <c r="P102" s="100"/>
      <c r="Q102" s="100"/>
      <c r="R102" s="119"/>
      <c r="S102" s="153" t="s">
        <v>2997</v>
      </c>
      <c r="T102" s="127">
        <v>1811</v>
      </c>
      <c r="U102" s="95" t="s">
        <v>4843</v>
      </c>
      <c r="V102" s="94" t="s">
        <v>4246</v>
      </c>
    </row>
    <row r="103" spans="1:22">
      <c r="A103" s="100"/>
      <c r="B103" s="100"/>
      <c r="C103" s="100"/>
      <c r="D103" s="100"/>
      <c r="E103" s="100"/>
      <c r="G103" s="100"/>
      <c r="H103" s="100"/>
      <c r="I103" s="100"/>
      <c r="J103" s="100"/>
      <c r="K103" s="100"/>
      <c r="L103" s="100"/>
      <c r="M103" s="100"/>
      <c r="N103" s="100"/>
      <c r="O103" s="119"/>
      <c r="P103" s="100"/>
      <c r="Q103" s="100"/>
      <c r="R103" s="119"/>
      <c r="S103" s="152" t="s">
        <v>3000</v>
      </c>
      <c r="T103" s="126">
        <v>1824</v>
      </c>
      <c r="U103" s="95"/>
      <c r="V103" s="94" t="s">
        <v>4484</v>
      </c>
    </row>
    <row r="104" spans="1:22">
      <c r="A104" s="100"/>
      <c r="B104" s="100"/>
      <c r="C104" s="100"/>
      <c r="D104" s="100"/>
      <c r="E104" s="100"/>
      <c r="G104" s="100"/>
      <c r="H104" s="100"/>
      <c r="I104" s="100"/>
      <c r="J104" s="100"/>
      <c r="K104" s="100"/>
      <c r="L104" s="100"/>
      <c r="M104" s="100"/>
      <c r="N104" s="100"/>
      <c r="O104" s="119"/>
      <c r="P104" s="100"/>
      <c r="Q104" s="100"/>
      <c r="R104" s="119"/>
      <c r="S104" s="153" t="s">
        <v>3004</v>
      </c>
      <c r="T104" s="127">
        <v>1768</v>
      </c>
      <c r="U104" s="95" t="s">
        <v>4753</v>
      </c>
      <c r="V104" s="94" t="s">
        <v>4485</v>
      </c>
    </row>
    <row r="105" spans="1:22">
      <c r="A105" s="100"/>
      <c r="B105" s="100"/>
      <c r="C105" s="100"/>
      <c r="D105" s="100"/>
      <c r="E105" s="100"/>
      <c r="G105" s="100"/>
      <c r="H105" s="100"/>
      <c r="I105" s="100"/>
      <c r="J105" s="100"/>
      <c r="K105" s="100"/>
      <c r="L105" s="100"/>
      <c r="M105" s="100"/>
      <c r="N105" s="100"/>
      <c r="O105" s="119"/>
      <c r="P105" s="100"/>
      <c r="Q105" s="100"/>
      <c r="R105" s="119"/>
      <c r="S105" s="152" t="s">
        <v>3008</v>
      </c>
      <c r="T105" s="126">
        <v>1803</v>
      </c>
      <c r="U105" s="95" t="s">
        <v>4844</v>
      </c>
      <c r="V105" s="94" t="s">
        <v>4486</v>
      </c>
    </row>
    <row r="106" spans="1:22">
      <c r="A106" s="100"/>
      <c r="B106" s="100"/>
      <c r="C106" s="100"/>
      <c r="D106" s="100"/>
      <c r="E106" s="100"/>
      <c r="G106" s="100"/>
      <c r="H106" s="100"/>
      <c r="I106" s="100"/>
      <c r="J106" s="100"/>
      <c r="K106" s="100"/>
      <c r="L106" s="100"/>
      <c r="M106" s="100"/>
      <c r="N106" s="100"/>
      <c r="O106" s="119"/>
      <c r="P106" s="100"/>
      <c r="Q106" s="100"/>
      <c r="R106" s="119"/>
      <c r="S106" s="153" t="s">
        <v>3011</v>
      </c>
      <c r="T106" s="127">
        <v>1783</v>
      </c>
      <c r="U106" s="95" t="s">
        <v>4845</v>
      </c>
      <c r="V106" s="94" t="s">
        <v>4487</v>
      </c>
    </row>
    <row r="107" spans="1:22">
      <c r="A107" s="100"/>
      <c r="B107" s="100"/>
      <c r="C107" s="100"/>
      <c r="D107" s="100"/>
      <c r="E107" s="100"/>
      <c r="G107" s="100"/>
      <c r="H107" s="100"/>
      <c r="I107" s="100"/>
      <c r="J107" s="100"/>
      <c r="K107" s="100"/>
      <c r="L107" s="100"/>
      <c r="M107" s="100"/>
      <c r="N107" s="100"/>
      <c r="O107" s="119"/>
      <c r="P107" s="100"/>
      <c r="Q107" s="100"/>
      <c r="R107" s="119"/>
      <c r="S107" s="152" t="s">
        <v>3015</v>
      </c>
      <c r="T107" s="126">
        <v>1851</v>
      </c>
      <c r="U107" s="95" t="s">
        <v>4846</v>
      </c>
      <c r="V107" s="94" t="s">
        <v>4416</v>
      </c>
    </row>
    <row r="108" spans="1:22">
      <c r="A108" s="100"/>
      <c r="B108" s="100"/>
      <c r="C108" s="100"/>
      <c r="D108" s="100"/>
      <c r="E108" s="100"/>
      <c r="G108" s="100"/>
      <c r="H108" s="100"/>
      <c r="I108" s="100"/>
      <c r="J108" s="100"/>
      <c r="K108" s="100"/>
      <c r="L108" s="100"/>
      <c r="M108" s="100"/>
      <c r="N108" s="100"/>
      <c r="O108" s="119"/>
      <c r="P108" s="100"/>
      <c r="Q108" s="100"/>
      <c r="R108" s="119"/>
      <c r="S108" s="153" t="s">
        <v>2555</v>
      </c>
      <c r="T108" s="127">
        <v>1852</v>
      </c>
      <c r="U108" s="95" t="s">
        <v>4847</v>
      </c>
      <c r="V108" s="94" t="s">
        <v>4488</v>
      </c>
    </row>
    <row r="109" spans="1:22">
      <c r="A109" s="100"/>
      <c r="B109" s="100"/>
      <c r="C109" s="100"/>
      <c r="D109" s="100"/>
      <c r="E109" s="100"/>
      <c r="G109" s="100"/>
      <c r="H109" s="100"/>
      <c r="I109" s="100"/>
      <c r="J109" s="100"/>
      <c r="K109" s="100"/>
      <c r="L109" s="100"/>
      <c r="M109" s="100"/>
      <c r="N109" s="100"/>
      <c r="O109" s="119"/>
      <c r="P109" s="100"/>
      <c r="Q109" s="100"/>
      <c r="R109" s="119"/>
      <c r="S109" s="152" t="s">
        <v>3018</v>
      </c>
      <c r="T109" s="126">
        <v>1777</v>
      </c>
      <c r="U109" s="95"/>
      <c r="V109" s="94" t="s">
        <v>4489</v>
      </c>
    </row>
    <row r="110" spans="1:22">
      <c r="A110" s="100"/>
      <c r="B110" s="100"/>
      <c r="C110" s="100"/>
      <c r="D110" s="100"/>
      <c r="E110" s="100"/>
      <c r="G110" s="100"/>
      <c r="H110" s="100"/>
      <c r="I110" s="100"/>
      <c r="J110" s="100"/>
      <c r="K110" s="100"/>
      <c r="L110" s="100"/>
      <c r="M110" s="100"/>
      <c r="N110" s="100"/>
      <c r="O110" s="119"/>
      <c r="P110" s="100"/>
      <c r="Q110" s="100"/>
      <c r="R110" s="119"/>
      <c r="S110" s="153" t="s">
        <v>3022</v>
      </c>
      <c r="T110" s="127">
        <v>1803</v>
      </c>
      <c r="U110" s="95" t="s">
        <v>210</v>
      </c>
      <c r="V110" s="94" t="s">
        <v>4490</v>
      </c>
    </row>
    <row r="111" spans="1:22">
      <c r="A111" s="100"/>
      <c r="B111" s="100"/>
      <c r="C111" s="100"/>
      <c r="D111" s="100"/>
      <c r="E111" s="100"/>
      <c r="G111" s="100"/>
      <c r="H111" s="100"/>
      <c r="I111" s="100"/>
      <c r="J111" s="100"/>
      <c r="K111" s="100"/>
      <c r="L111" s="100"/>
      <c r="M111" s="100"/>
      <c r="N111" s="100"/>
      <c r="O111" s="119"/>
      <c r="P111" s="100"/>
      <c r="Q111" s="100"/>
      <c r="R111" s="119"/>
      <c r="S111" s="152" t="s">
        <v>4964</v>
      </c>
      <c r="T111" s="126">
        <v>1809</v>
      </c>
      <c r="U111" s="95"/>
      <c r="V111" s="94" t="s">
        <v>4491</v>
      </c>
    </row>
    <row r="112" spans="1:22">
      <c r="A112" s="100"/>
      <c r="B112" s="100"/>
      <c r="C112" s="100"/>
      <c r="D112" s="100"/>
      <c r="E112" s="100"/>
      <c r="G112" s="100"/>
      <c r="H112" s="100"/>
      <c r="I112" s="100"/>
      <c r="J112" s="100"/>
      <c r="K112" s="100"/>
      <c r="L112" s="100"/>
      <c r="M112" s="100"/>
      <c r="N112" s="100"/>
      <c r="O112" s="119"/>
      <c r="P112" s="100"/>
      <c r="Q112" s="100"/>
      <c r="R112" s="119"/>
      <c r="S112" s="153" t="s">
        <v>4965</v>
      </c>
      <c r="T112" s="127">
        <v>1782</v>
      </c>
      <c r="U112" s="95" t="s">
        <v>211</v>
      </c>
      <c r="V112" s="94" t="s">
        <v>4492</v>
      </c>
    </row>
    <row r="113" spans="1:22">
      <c r="A113" s="100"/>
      <c r="B113" s="100"/>
      <c r="C113" s="100"/>
      <c r="D113" s="100"/>
      <c r="E113" s="100"/>
      <c r="G113" s="100"/>
      <c r="H113" s="100"/>
      <c r="I113" s="100"/>
      <c r="J113" s="100"/>
      <c r="K113" s="100"/>
      <c r="L113" s="100"/>
      <c r="M113" s="100"/>
      <c r="N113" s="100"/>
      <c r="O113" s="119"/>
      <c r="P113" s="100"/>
      <c r="Q113" s="100"/>
      <c r="R113" s="119"/>
      <c r="S113" s="152" t="s">
        <v>4966</v>
      </c>
      <c r="T113" s="126">
        <v>1795</v>
      </c>
      <c r="U113" s="95" t="s">
        <v>212</v>
      </c>
      <c r="V113" s="94" t="s">
        <v>4493</v>
      </c>
    </row>
    <row r="114" spans="1:22">
      <c r="A114" s="100"/>
      <c r="B114" s="100"/>
      <c r="C114" s="100"/>
      <c r="D114" s="100"/>
      <c r="E114" s="100"/>
      <c r="G114" s="100"/>
      <c r="H114" s="100"/>
      <c r="I114" s="100"/>
      <c r="J114" s="100"/>
      <c r="K114" s="100"/>
      <c r="L114" s="100"/>
      <c r="M114" s="100"/>
      <c r="N114" s="100"/>
      <c r="O114" s="119"/>
      <c r="P114" s="100"/>
      <c r="Q114" s="100"/>
      <c r="R114" s="119"/>
      <c r="S114" s="153" t="s">
        <v>4896</v>
      </c>
      <c r="T114" s="127">
        <v>1799</v>
      </c>
      <c r="U114" s="95" t="s">
        <v>213</v>
      </c>
      <c r="V114" s="94" t="s">
        <v>4268</v>
      </c>
    </row>
    <row r="115" spans="1:22">
      <c r="A115" s="100"/>
      <c r="B115" s="100"/>
      <c r="C115" s="100"/>
      <c r="D115" s="100"/>
      <c r="E115" s="100"/>
      <c r="G115" s="100"/>
      <c r="H115" s="100"/>
      <c r="I115" s="100"/>
      <c r="J115" s="100"/>
      <c r="K115" s="100"/>
      <c r="L115" s="100"/>
      <c r="M115" s="100"/>
      <c r="N115" s="100"/>
      <c r="O115" s="119"/>
      <c r="P115" s="100"/>
      <c r="Q115" s="100"/>
      <c r="R115" s="119"/>
      <c r="S115" s="152" t="s">
        <v>4967</v>
      </c>
      <c r="T115" s="126">
        <v>1810</v>
      </c>
      <c r="U115" s="95" t="s">
        <v>214</v>
      </c>
      <c r="V115" s="94"/>
    </row>
    <row r="116" spans="1:22">
      <c r="A116" s="100"/>
      <c r="B116" s="100"/>
      <c r="C116" s="100"/>
      <c r="D116" s="100"/>
      <c r="E116" s="100"/>
      <c r="G116" s="100"/>
      <c r="H116" s="100"/>
      <c r="I116" s="100"/>
      <c r="J116" s="100"/>
      <c r="K116" s="100"/>
      <c r="L116" s="100"/>
      <c r="M116" s="100"/>
      <c r="N116" s="100"/>
      <c r="O116" s="119"/>
      <c r="P116" s="100"/>
      <c r="Q116" s="100"/>
      <c r="R116" s="119"/>
      <c r="S116" s="153" t="s">
        <v>4968</v>
      </c>
      <c r="T116" s="127">
        <v>1807</v>
      </c>
      <c r="U116" s="95" t="s">
        <v>215</v>
      </c>
      <c r="V116" s="94" t="s">
        <v>204</v>
      </c>
    </row>
    <row r="117" spans="1:22">
      <c r="A117" s="100"/>
      <c r="B117" s="100"/>
      <c r="C117" s="100"/>
      <c r="D117" s="100"/>
      <c r="E117" s="100"/>
      <c r="G117" s="100"/>
      <c r="H117" s="100"/>
      <c r="I117" s="100"/>
      <c r="J117" s="100"/>
      <c r="K117" s="100"/>
      <c r="L117" s="100"/>
      <c r="M117" s="100"/>
      <c r="N117" s="100"/>
      <c r="O117" s="119"/>
      <c r="P117" s="100"/>
      <c r="Q117" s="100"/>
      <c r="R117" s="119"/>
      <c r="S117" s="152" t="s">
        <v>4969</v>
      </c>
      <c r="T117" s="126">
        <v>1804</v>
      </c>
      <c r="U117" s="95" t="s">
        <v>216</v>
      </c>
      <c r="V117" s="94" t="s">
        <v>1108</v>
      </c>
    </row>
    <row r="118" spans="1:22">
      <c r="A118" s="100"/>
      <c r="B118" s="100"/>
      <c r="C118" s="100"/>
      <c r="D118" s="100"/>
      <c r="E118" s="100"/>
      <c r="G118" s="100"/>
      <c r="H118" s="100"/>
      <c r="I118" s="100"/>
      <c r="J118" s="100"/>
      <c r="K118" s="100"/>
      <c r="L118" s="100"/>
      <c r="M118" s="100"/>
      <c r="N118" s="100"/>
      <c r="O118" s="119"/>
      <c r="P118" s="100"/>
      <c r="Q118" s="100"/>
      <c r="R118" s="119"/>
      <c r="S118" s="153" t="s">
        <v>4970</v>
      </c>
      <c r="T118" s="127">
        <v>1801</v>
      </c>
      <c r="U118" s="95" t="s">
        <v>217</v>
      </c>
      <c r="V118" s="94"/>
    </row>
    <row r="119" spans="1:22">
      <c r="A119" s="100"/>
      <c r="B119" s="100"/>
      <c r="C119" s="100"/>
      <c r="D119" s="100"/>
      <c r="E119" s="100"/>
      <c r="G119" s="100"/>
      <c r="H119" s="100"/>
      <c r="I119" s="100"/>
      <c r="J119" s="100"/>
      <c r="K119" s="100"/>
      <c r="L119" s="100"/>
      <c r="M119" s="100"/>
      <c r="N119" s="100"/>
      <c r="O119" s="119"/>
      <c r="P119" s="100"/>
      <c r="Q119" s="100"/>
      <c r="R119" s="119"/>
      <c r="S119" s="152" t="s">
        <v>4971</v>
      </c>
      <c r="T119" s="126">
        <v>1796</v>
      </c>
      <c r="U119" s="95" t="s">
        <v>218</v>
      </c>
      <c r="V119" s="94" t="s">
        <v>205</v>
      </c>
    </row>
    <row r="120" spans="1:22">
      <c r="A120" s="100"/>
      <c r="B120" s="100"/>
      <c r="C120" s="100"/>
      <c r="D120" s="100"/>
      <c r="E120" s="100"/>
      <c r="G120" s="100"/>
      <c r="H120" s="100"/>
      <c r="I120" s="100"/>
      <c r="J120" s="100"/>
      <c r="K120" s="100"/>
      <c r="L120" s="100"/>
      <c r="M120" s="100"/>
      <c r="N120" s="100"/>
      <c r="O120" s="119"/>
      <c r="P120" s="100"/>
      <c r="Q120" s="100"/>
      <c r="R120" s="119"/>
      <c r="S120" s="153" t="s">
        <v>3049</v>
      </c>
      <c r="T120" s="127">
        <v>1799</v>
      </c>
      <c r="U120" s="95" t="s">
        <v>219</v>
      </c>
      <c r="V120" s="94" t="s">
        <v>1111</v>
      </c>
    </row>
    <row r="121" spans="1:22">
      <c r="A121" s="100"/>
      <c r="B121" s="100"/>
      <c r="C121" s="100"/>
      <c r="D121" s="100"/>
      <c r="E121" s="100"/>
      <c r="G121" s="100"/>
      <c r="H121" s="100"/>
      <c r="I121" s="100"/>
      <c r="J121" s="100"/>
      <c r="K121" s="100"/>
      <c r="L121" s="100"/>
      <c r="M121" s="100"/>
      <c r="N121" s="100"/>
      <c r="O121" s="119"/>
      <c r="P121" s="100"/>
      <c r="Q121" s="100"/>
      <c r="R121" s="119"/>
      <c r="S121" s="152" t="s">
        <v>3051</v>
      </c>
      <c r="T121" s="126">
        <v>1792</v>
      </c>
      <c r="U121" s="95" t="s">
        <v>220</v>
      </c>
      <c r="V121" s="94" t="s">
        <v>1113</v>
      </c>
    </row>
    <row r="122" spans="1:22">
      <c r="A122" s="100"/>
      <c r="B122" s="100"/>
      <c r="C122" s="100"/>
      <c r="D122" s="100"/>
      <c r="E122" s="100"/>
      <c r="G122" s="100"/>
      <c r="H122" s="100"/>
      <c r="I122" s="100"/>
      <c r="J122" s="100"/>
      <c r="K122" s="100"/>
      <c r="L122" s="100"/>
      <c r="M122" s="100"/>
      <c r="N122" s="100"/>
      <c r="O122" s="119"/>
      <c r="P122" s="100"/>
      <c r="Q122" s="100"/>
      <c r="R122" s="119"/>
      <c r="S122" s="153" t="s">
        <v>3055</v>
      </c>
      <c r="T122" s="127">
        <v>1792</v>
      </c>
      <c r="U122" s="95" t="s">
        <v>221</v>
      </c>
      <c r="V122" s="94"/>
    </row>
    <row r="123" spans="1:22">
      <c r="A123" s="100"/>
      <c r="B123" s="100"/>
      <c r="C123" s="100"/>
      <c r="D123" s="100"/>
      <c r="E123" s="100"/>
      <c r="G123" s="100"/>
      <c r="H123" s="100"/>
      <c r="I123" s="100"/>
      <c r="J123" s="100"/>
      <c r="K123" s="100"/>
      <c r="L123" s="100"/>
      <c r="M123" s="100"/>
      <c r="N123" s="100"/>
      <c r="O123" s="119"/>
      <c r="P123" s="100"/>
      <c r="Q123" s="100"/>
      <c r="R123" s="119"/>
      <c r="S123" s="152" t="s">
        <v>3057</v>
      </c>
      <c r="T123" s="126">
        <v>1801</v>
      </c>
      <c r="U123" s="95" t="s">
        <v>222</v>
      </c>
      <c r="V123" s="94" t="s">
        <v>1115</v>
      </c>
    </row>
    <row r="124" spans="1:22">
      <c r="A124" s="100"/>
      <c r="B124" s="100"/>
      <c r="C124" s="100"/>
      <c r="D124" s="100"/>
      <c r="E124" s="100"/>
      <c r="G124" s="100"/>
      <c r="H124" s="100"/>
      <c r="I124" s="100"/>
      <c r="J124" s="100"/>
      <c r="K124" s="100"/>
      <c r="L124" s="100"/>
      <c r="M124" s="100"/>
      <c r="N124" s="100"/>
      <c r="O124" s="119"/>
      <c r="P124" s="100"/>
      <c r="Q124" s="100"/>
      <c r="R124" s="119"/>
      <c r="S124" s="153" t="s">
        <v>3060</v>
      </c>
      <c r="T124" s="127">
        <v>1814</v>
      </c>
      <c r="U124" s="95" t="s">
        <v>223</v>
      </c>
      <c r="V124" s="94"/>
    </row>
    <row r="125" spans="1:22">
      <c r="A125" s="100"/>
      <c r="B125" s="100"/>
      <c r="C125" s="100"/>
      <c r="D125" s="100"/>
      <c r="E125" s="100"/>
      <c r="G125" s="100"/>
      <c r="H125" s="100"/>
      <c r="I125" s="100"/>
      <c r="J125" s="100"/>
      <c r="K125" s="100"/>
      <c r="L125" s="100"/>
      <c r="M125" s="100"/>
      <c r="N125" s="100"/>
      <c r="O125" s="119"/>
      <c r="P125" s="100"/>
      <c r="Q125" s="100"/>
      <c r="R125" s="119"/>
      <c r="S125" s="152" t="s">
        <v>3064</v>
      </c>
      <c r="T125" s="126">
        <v>1814</v>
      </c>
      <c r="U125" s="95" t="s">
        <v>224</v>
      </c>
      <c r="V125" s="94" t="s">
        <v>4848</v>
      </c>
    </row>
    <row r="126" spans="1:22">
      <c r="A126" s="100"/>
      <c r="B126" s="100"/>
      <c r="C126" s="100"/>
      <c r="D126" s="100"/>
      <c r="E126" s="100"/>
      <c r="G126" s="100"/>
      <c r="H126" s="100"/>
      <c r="I126" s="100"/>
      <c r="J126" s="100"/>
      <c r="K126" s="100"/>
      <c r="L126" s="100"/>
      <c r="M126" s="100"/>
      <c r="N126" s="100"/>
      <c r="O126" s="119"/>
      <c r="P126" s="100"/>
      <c r="Q126" s="100"/>
      <c r="R126" s="119"/>
      <c r="S126" s="153" t="s">
        <v>3068</v>
      </c>
      <c r="T126" s="127">
        <v>1794</v>
      </c>
      <c r="U126" s="95" t="s">
        <v>225</v>
      </c>
      <c r="V126" s="94" t="s">
        <v>4840</v>
      </c>
    </row>
    <row r="127" spans="1:22">
      <c r="A127" s="100"/>
      <c r="B127" s="100"/>
      <c r="C127" s="100"/>
      <c r="D127" s="100"/>
      <c r="E127" s="100"/>
      <c r="G127" s="100"/>
      <c r="H127" s="100"/>
      <c r="I127" s="100"/>
      <c r="J127" s="100"/>
      <c r="K127" s="100"/>
      <c r="L127" s="100"/>
      <c r="M127" s="100"/>
      <c r="N127" s="100"/>
      <c r="O127" s="119"/>
      <c r="P127" s="100"/>
      <c r="Q127" s="100"/>
      <c r="R127" s="119"/>
      <c r="S127" s="152" t="s">
        <v>3071</v>
      </c>
      <c r="T127" s="126">
        <v>1809</v>
      </c>
      <c r="U127" s="95"/>
      <c r="V127" s="94" t="s">
        <v>4849</v>
      </c>
    </row>
    <row r="128" spans="1:22">
      <c r="A128" s="100"/>
      <c r="B128" s="100"/>
      <c r="C128" s="100"/>
      <c r="D128" s="100"/>
      <c r="E128" s="100"/>
      <c r="G128" s="100"/>
      <c r="H128" s="100"/>
      <c r="I128" s="100"/>
      <c r="J128" s="100"/>
      <c r="K128" s="100"/>
      <c r="L128" s="100"/>
      <c r="M128" s="100"/>
      <c r="N128" s="100"/>
      <c r="O128" s="119"/>
      <c r="P128" s="100"/>
      <c r="Q128" s="100"/>
      <c r="R128" s="119"/>
      <c r="S128" s="153" t="s">
        <v>3075</v>
      </c>
      <c r="T128" s="127">
        <v>1798</v>
      </c>
      <c r="U128" s="95" t="s">
        <v>226</v>
      </c>
      <c r="V128" s="94" t="s">
        <v>4780</v>
      </c>
    </row>
    <row r="129" spans="1:22">
      <c r="A129" s="100"/>
      <c r="B129" s="100"/>
      <c r="C129" s="100"/>
      <c r="D129" s="100"/>
      <c r="E129" s="100"/>
      <c r="G129" s="100"/>
      <c r="H129" s="100"/>
      <c r="I129" s="100"/>
      <c r="J129" s="100"/>
      <c r="K129" s="100"/>
      <c r="L129" s="100"/>
      <c r="M129" s="100"/>
      <c r="N129" s="100"/>
      <c r="O129" s="119"/>
      <c r="P129" s="100"/>
      <c r="Q129" s="100"/>
      <c r="R129" s="119"/>
      <c r="S129" s="152" t="s">
        <v>3079</v>
      </c>
      <c r="T129" s="126">
        <v>1810</v>
      </c>
      <c r="U129" s="95"/>
      <c r="V129" s="94" t="s">
        <v>4771</v>
      </c>
    </row>
    <row r="130" spans="1:22">
      <c r="A130" s="100"/>
      <c r="B130" s="100"/>
      <c r="C130" s="100"/>
      <c r="D130" s="100"/>
      <c r="E130" s="100"/>
      <c r="G130" s="100"/>
      <c r="H130" s="100"/>
      <c r="I130" s="100"/>
      <c r="J130" s="100"/>
      <c r="K130" s="100"/>
      <c r="L130" s="100"/>
      <c r="M130" s="100"/>
      <c r="N130" s="100"/>
      <c r="O130" s="119"/>
      <c r="P130" s="100"/>
      <c r="Q130" s="100"/>
      <c r="R130" s="119"/>
      <c r="S130" s="153" t="s">
        <v>3082</v>
      </c>
      <c r="T130" s="127">
        <v>1781</v>
      </c>
      <c r="U130" s="95" t="s">
        <v>227</v>
      </c>
      <c r="V130" s="94" t="s">
        <v>4850</v>
      </c>
    </row>
    <row r="131" spans="1:22">
      <c r="A131" s="100"/>
      <c r="B131" s="100"/>
      <c r="C131" s="100"/>
      <c r="D131" s="100"/>
      <c r="E131" s="100"/>
      <c r="G131" s="100"/>
      <c r="H131" s="100"/>
      <c r="I131" s="100"/>
      <c r="J131" s="100"/>
      <c r="K131" s="100"/>
      <c r="L131" s="100"/>
      <c r="M131" s="100"/>
      <c r="N131" s="100"/>
      <c r="O131" s="119"/>
      <c r="P131" s="100"/>
      <c r="Q131" s="100"/>
      <c r="R131" s="119"/>
      <c r="S131" s="152" t="s">
        <v>3086</v>
      </c>
      <c r="T131" s="126">
        <v>1801</v>
      </c>
      <c r="U131" s="95"/>
      <c r="V131" s="94" t="s">
        <v>4748</v>
      </c>
    </row>
    <row r="132" spans="1:22">
      <c r="A132" s="100"/>
      <c r="B132" s="100"/>
      <c r="C132" s="100"/>
      <c r="D132" s="100"/>
      <c r="E132" s="100"/>
      <c r="G132" s="100"/>
      <c r="H132" s="100"/>
      <c r="I132" s="100"/>
      <c r="J132" s="100"/>
      <c r="K132" s="100"/>
      <c r="L132" s="100"/>
      <c r="M132" s="100"/>
      <c r="N132" s="100"/>
      <c r="O132" s="119"/>
      <c r="P132" s="100"/>
      <c r="Q132" s="100"/>
      <c r="R132" s="119"/>
      <c r="S132" s="153" t="s">
        <v>3089</v>
      </c>
      <c r="T132" s="127">
        <v>1824</v>
      </c>
      <c r="U132" s="95" t="s">
        <v>228</v>
      </c>
      <c r="V132" s="94" t="s">
        <v>4726</v>
      </c>
    </row>
    <row r="133" spans="1:22">
      <c r="A133" s="100"/>
      <c r="B133" s="100"/>
      <c r="C133" s="100"/>
      <c r="D133" s="100"/>
      <c r="E133" s="100"/>
      <c r="G133" s="100"/>
      <c r="H133" s="100"/>
      <c r="I133" s="100"/>
      <c r="J133" s="100"/>
      <c r="K133" s="100"/>
      <c r="L133" s="100"/>
      <c r="M133" s="100"/>
      <c r="N133" s="100"/>
      <c r="O133" s="119"/>
      <c r="P133" s="100"/>
      <c r="Q133" s="100"/>
      <c r="R133" s="119"/>
      <c r="S133" s="152" t="s">
        <v>3092</v>
      </c>
      <c r="T133" s="126">
        <v>1833</v>
      </c>
      <c r="U133" s="95"/>
      <c r="V133" s="94" t="s">
        <v>4763</v>
      </c>
    </row>
    <row r="134" spans="1:22">
      <c r="A134" s="100"/>
      <c r="B134" s="100"/>
      <c r="C134" s="100"/>
      <c r="D134" s="100"/>
      <c r="E134" s="100"/>
      <c r="G134" s="100"/>
      <c r="H134" s="100"/>
      <c r="I134" s="100"/>
      <c r="J134" s="100"/>
      <c r="K134" s="100"/>
      <c r="L134" s="100"/>
      <c r="M134" s="100"/>
      <c r="N134" s="100"/>
      <c r="O134" s="119"/>
      <c r="P134" s="100"/>
      <c r="Q134" s="100"/>
      <c r="R134" s="119"/>
      <c r="S134" s="153" t="s">
        <v>3095</v>
      </c>
      <c r="T134" s="127">
        <v>1837</v>
      </c>
      <c r="U134" s="95" t="s">
        <v>229</v>
      </c>
      <c r="V134" s="94" t="s">
        <v>4724</v>
      </c>
    </row>
    <row r="135" spans="1:22">
      <c r="A135" s="100"/>
      <c r="B135" s="100"/>
      <c r="C135" s="100"/>
      <c r="D135" s="100"/>
      <c r="E135" s="100"/>
      <c r="G135" s="100"/>
      <c r="H135" s="100"/>
      <c r="I135" s="100"/>
      <c r="J135" s="100"/>
      <c r="K135" s="100"/>
      <c r="L135" s="100"/>
      <c r="M135" s="100"/>
      <c r="N135" s="100"/>
      <c r="O135" s="119"/>
      <c r="P135" s="100"/>
      <c r="Q135" s="100"/>
      <c r="R135" s="119"/>
      <c r="S135" s="152" t="s">
        <v>486</v>
      </c>
      <c r="T135" s="126">
        <v>1789</v>
      </c>
      <c r="U135" s="95"/>
      <c r="V135" s="94" t="s">
        <v>4851</v>
      </c>
    </row>
    <row r="136" spans="1:22">
      <c r="A136" s="100"/>
      <c r="B136" s="100"/>
      <c r="C136" s="100"/>
      <c r="D136" s="100"/>
      <c r="E136" s="100"/>
      <c r="G136" s="100"/>
      <c r="H136" s="100"/>
      <c r="I136" s="100"/>
      <c r="J136" s="100"/>
      <c r="K136" s="100"/>
      <c r="L136" s="100"/>
      <c r="M136" s="100"/>
      <c r="N136" s="100"/>
      <c r="O136" s="119"/>
      <c r="P136" s="100"/>
      <c r="Q136" s="100"/>
      <c r="R136" s="119"/>
      <c r="S136" s="153" t="s">
        <v>3100</v>
      </c>
      <c r="T136" s="127">
        <v>1821</v>
      </c>
      <c r="U136" s="95" t="s">
        <v>230</v>
      </c>
      <c r="V136" s="94" t="s">
        <v>4842</v>
      </c>
    </row>
    <row r="137" spans="1:22">
      <c r="A137" s="100"/>
      <c r="B137" s="100"/>
      <c r="C137" s="100"/>
      <c r="D137" s="100"/>
      <c r="E137" s="100"/>
      <c r="G137" s="100"/>
      <c r="H137" s="100"/>
      <c r="I137" s="100"/>
      <c r="J137" s="100"/>
      <c r="K137" s="100"/>
      <c r="L137" s="100"/>
      <c r="M137" s="100"/>
      <c r="N137" s="100"/>
      <c r="O137" s="119"/>
      <c r="P137" s="100"/>
      <c r="Q137" s="100"/>
      <c r="R137" s="119"/>
      <c r="S137" s="152" t="s">
        <v>3104</v>
      </c>
      <c r="T137" s="126">
        <v>1827</v>
      </c>
      <c r="U137" s="95" t="s">
        <v>231</v>
      </c>
      <c r="V137" s="94" t="s">
        <v>4737</v>
      </c>
    </row>
    <row r="138" spans="1:22">
      <c r="A138" s="100"/>
      <c r="B138" s="100"/>
      <c r="C138" s="100"/>
      <c r="D138" s="100"/>
      <c r="E138" s="100"/>
      <c r="G138" s="100"/>
      <c r="H138" s="100"/>
      <c r="I138" s="100"/>
      <c r="J138" s="100"/>
      <c r="K138" s="100"/>
      <c r="L138" s="100"/>
      <c r="M138" s="100"/>
      <c r="N138" s="100"/>
      <c r="O138" s="119"/>
      <c r="P138" s="100"/>
      <c r="Q138" s="100"/>
      <c r="R138" s="119"/>
      <c r="S138" s="153" t="s">
        <v>3107</v>
      </c>
      <c r="T138" s="127">
        <v>1822</v>
      </c>
      <c r="U138" s="95"/>
      <c r="V138" s="94" t="s">
        <v>4775</v>
      </c>
    </row>
    <row r="139" spans="1:22">
      <c r="A139" s="100"/>
      <c r="B139" s="100"/>
      <c r="C139" s="100"/>
      <c r="D139" s="100"/>
      <c r="E139" s="100"/>
      <c r="G139" s="100"/>
      <c r="H139" s="100"/>
      <c r="I139" s="100"/>
      <c r="J139" s="100"/>
      <c r="K139" s="100"/>
      <c r="L139" s="100"/>
      <c r="M139" s="100"/>
      <c r="N139" s="100"/>
      <c r="O139" s="119"/>
      <c r="P139" s="100"/>
      <c r="Q139" s="100"/>
      <c r="R139" s="119"/>
      <c r="S139" s="152" t="s">
        <v>3111</v>
      </c>
      <c r="T139" s="126">
        <v>1800</v>
      </c>
      <c r="U139" s="95" t="s">
        <v>232</v>
      </c>
      <c r="V139" s="94" t="s">
        <v>4852</v>
      </c>
    </row>
    <row r="140" spans="1:22">
      <c r="A140" s="100"/>
      <c r="B140" s="100"/>
      <c r="C140" s="100"/>
      <c r="D140" s="100"/>
      <c r="E140" s="100"/>
      <c r="G140" s="100"/>
      <c r="H140" s="100"/>
      <c r="I140" s="100"/>
      <c r="J140" s="100"/>
      <c r="K140" s="100"/>
      <c r="L140" s="100"/>
      <c r="M140" s="100"/>
      <c r="N140" s="100"/>
      <c r="O140" s="119"/>
      <c r="P140" s="100"/>
      <c r="Q140" s="100"/>
      <c r="R140" s="119"/>
      <c r="S140" s="153" t="s">
        <v>3114</v>
      </c>
      <c r="T140" s="127">
        <v>1826</v>
      </c>
      <c r="U140" s="95"/>
      <c r="V140" s="94" t="s">
        <v>4843</v>
      </c>
    </row>
    <row r="141" spans="1:22">
      <c r="A141" s="100"/>
      <c r="B141" s="100"/>
      <c r="C141" s="100"/>
      <c r="D141" s="100"/>
      <c r="E141" s="100"/>
      <c r="G141" s="100"/>
      <c r="H141" s="100"/>
      <c r="I141" s="100"/>
      <c r="J141" s="100"/>
      <c r="K141" s="100"/>
      <c r="L141" s="100"/>
      <c r="M141" s="100"/>
      <c r="N141" s="100"/>
      <c r="O141" s="119"/>
      <c r="P141" s="100"/>
      <c r="Q141" s="100"/>
      <c r="R141" s="119"/>
      <c r="S141" s="152" t="s">
        <v>3118</v>
      </c>
      <c r="T141" s="126">
        <v>1810</v>
      </c>
      <c r="U141" s="95" t="s">
        <v>233</v>
      </c>
      <c r="V141" s="94"/>
    </row>
    <row r="142" spans="1:22">
      <c r="A142" s="100"/>
      <c r="B142" s="100"/>
      <c r="C142" s="100"/>
      <c r="D142" s="100"/>
      <c r="E142" s="100"/>
      <c r="G142" s="100"/>
      <c r="H142" s="100"/>
      <c r="I142" s="100"/>
      <c r="J142" s="100"/>
      <c r="K142" s="100"/>
      <c r="L142" s="100"/>
      <c r="M142" s="100"/>
      <c r="N142" s="100"/>
      <c r="O142" s="119"/>
      <c r="P142" s="100"/>
      <c r="Q142" s="100"/>
      <c r="R142" s="119"/>
      <c r="S142" s="153" t="s">
        <v>3120</v>
      </c>
      <c r="T142" s="127">
        <v>1817</v>
      </c>
      <c r="U142" s="95" t="s">
        <v>234</v>
      </c>
      <c r="V142" s="94" t="s">
        <v>4853</v>
      </c>
    </row>
    <row r="143" spans="1:22">
      <c r="A143" s="100"/>
      <c r="B143" s="100"/>
      <c r="C143" s="100"/>
      <c r="D143" s="100"/>
      <c r="E143" s="100"/>
      <c r="G143" s="100"/>
      <c r="H143" s="100"/>
      <c r="I143" s="100"/>
      <c r="J143" s="100"/>
      <c r="K143" s="100"/>
      <c r="L143" s="100"/>
      <c r="M143" s="100"/>
      <c r="N143" s="100"/>
      <c r="O143" s="119"/>
      <c r="P143" s="100"/>
      <c r="Q143" s="100"/>
      <c r="R143" s="119"/>
      <c r="S143" s="152" t="s">
        <v>3123</v>
      </c>
      <c r="T143" s="126">
        <v>1799</v>
      </c>
      <c r="U143" s="95" t="s">
        <v>235</v>
      </c>
      <c r="V143" s="94" t="s">
        <v>4854</v>
      </c>
    </row>
    <row r="144" spans="1:22">
      <c r="A144" s="100"/>
      <c r="B144" s="100"/>
      <c r="C144" s="100"/>
      <c r="D144" s="100"/>
      <c r="E144" s="100"/>
      <c r="G144" s="100"/>
      <c r="H144" s="100"/>
      <c r="I144" s="100"/>
      <c r="J144" s="100"/>
      <c r="K144" s="100"/>
      <c r="L144" s="100"/>
      <c r="M144" s="100"/>
      <c r="N144" s="100"/>
      <c r="O144" s="119"/>
      <c r="P144" s="100"/>
      <c r="Q144" s="100"/>
      <c r="R144" s="119"/>
      <c r="S144" s="153" t="s">
        <v>3127</v>
      </c>
      <c r="T144" s="127">
        <v>1795</v>
      </c>
      <c r="U144" s="95"/>
      <c r="V144" s="94" t="s">
        <v>4855</v>
      </c>
    </row>
    <row r="145" spans="1:22">
      <c r="A145" s="100"/>
      <c r="B145" s="100"/>
      <c r="C145" s="100"/>
      <c r="D145" s="100"/>
      <c r="E145" s="100"/>
      <c r="G145" s="100"/>
      <c r="H145" s="100"/>
      <c r="I145" s="100"/>
      <c r="J145" s="100"/>
      <c r="K145" s="100"/>
      <c r="L145" s="100"/>
      <c r="M145" s="100"/>
      <c r="N145" s="100"/>
      <c r="O145" s="119"/>
      <c r="P145" s="100"/>
      <c r="Q145" s="100"/>
      <c r="R145" s="119"/>
      <c r="S145" s="152" t="s">
        <v>3130</v>
      </c>
      <c r="T145" s="126">
        <v>1806</v>
      </c>
      <c r="U145" s="95" t="s">
        <v>236</v>
      </c>
      <c r="V145" s="94" t="s">
        <v>4856</v>
      </c>
    </row>
    <row r="146" spans="1:22">
      <c r="A146" s="100"/>
      <c r="B146" s="100"/>
      <c r="C146" s="100"/>
      <c r="D146" s="100"/>
      <c r="E146" s="100"/>
      <c r="G146" s="100"/>
      <c r="H146" s="100"/>
      <c r="I146" s="100"/>
      <c r="J146" s="100"/>
      <c r="K146" s="100"/>
      <c r="L146" s="100"/>
      <c r="M146" s="100"/>
      <c r="N146" s="100"/>
      <c r="O146" s="119"/>
      <c r="P146" s="100"/>
      <c r="Q146" s="100"/>
      <c r="R146" s="119"/>
      <c r="S146" s="153" t="s">
        <v>3133</v>
      </c>
      <c r="T146" s="127">
        <v>1801</v>
      </c>
      <c r="U146" s="95"/>
      <c r="V146" s="94" t="s">
        <v>4857</v>
      </c>
    </row>
    <row r="147" spans="1:22">
      <c r="A147" s="100"/>
      <c r="B147" s="100"/>
      <c r="C147" s="100"/>
      <c r="D147" s="100"/>
      <c r="E147" s="100"/>
      <c r="G147" s="100"/>
      <c r="H147" s="100"/>
      <c r="I147" s="100"/>
      <c r="J147" s="100"/>
      <c r="K147" s="100"/>
      <c r="L147" s="100"/>
      <c r="M147" s="100"/>
      <c r="N147" s="100"/>
      <c r="O147" s="119"/>
      <c r="P147" s="100"/>
      <c r="Q147" s="100"/>
      <c r="R147" s="119"/>
      <c r="S147" s="152" t="s">
        <v>3137</v>
      </c>
      <c r="T147" s="126">
        <v>1812</v>
      </c>
      <c r="U147" s="95" t="s">
        <v>237</v>
      </c>
      <c r="V147" s="94" t="s">
        <v>4858</v>
      </c>
    </row>
    <row r="148" spans="1:22">
      <c r="A148" s="100"/>
      <c r="B148" s="100"/>
      <c r="C148" s="100"/>
      <c r="D148" s="100"/>
      <c r="E148" s="100"/>
      <c r="G148" s="100"/>
      <c r="H148" s="100"/>
      <c r="I148" s="100"/>
      <c r="J148" s="100"/>
      <c r="K148" s="100"/>
      <c r="L148" s="100"/>
      <c r="M148" s="100"/>
      <c r="N148" s="100"/>
      <c r="O148" s="119"/>
      <c r="P148" s="100"/>
      <c r="Q148" s="100"/>
      <c r="R148" s="119"/>
      <c r="S148" s="153" t="s">
        <v>3140</v>
      </c>
      <c r="T148" s="127">
        <v>1832</v>
      </c>
      <c r="U148" s="95"/>
      <c r="V148" s="94" t="s">
        <v>4859</v>
      </c>
    </row>
    <row r="149" spans="1:22">
      <c r="A149" s="100"/>
      <c r="B149" s="100"/>
      <c r="C149" s="100"/>
      <c r="D149" s="100"/>
      <c r="E149" s="100"/>
      <c r="G149" s="100"/>
      <c r="H149" s="100"/>
      <c r="I149" s="100"/>
      <c r="J149" s="100"/>
      <c r="K149" s="100"/>
      <c r="L149" s="100"/>
      <c r="M149" s="100"/>
      <c r="N149" s="100"/>
      <c r="O149" s="119"/>
      <c r="P149" s="100"/>
      <c r="Q149" s="100"/>
      <c r="R149" s="119"/>
      <c r="S149" s="152" t="s">
        <v>3143</v>
      </c>
      <c r="T149" s="126">
        <v>1800</v>
      </c>
      <c r="U149" s="95" t="s">
        <v>238</v>
      </c>
      <c r="V149" s="94" t="s">
        <v>4860</v>
      </c>
    </row>
    <row r="150" spans="1:22">
      <c r="A150" s="100"/>
      <c r="B150" s="100"/>
      <c r="C150" s="100"/>
      <c r="D150" s="100"/>
      <c r="E150" s="100"/>
      <c r="G150" s="100"/>
      <c r="H150" s="100"/>
      <c r="I150" s="100"/>
      <c r="J150" s="100"/>
      <c r="K150" s="100"/>
      <c r="L150" s="100"/>
      <c r="M150" s="100"/>
      <c r="N150" s="100"/>
      <c r="O150" s="119"/>
      <c r="P150" s="100"/>
      <c r="Q150" s="100"/>
      <c r="R150" s="119"/>
      <c r="S150" s="153" t="s">
        <v>3147</v>
      </c>
      <c r="T150" s="127">
        <v>1795</v>
      </c>
      <c r="U150" s="95" t="s">
        <v>239</v>
      </c>
      <c r="V150" s="94" t="s">
        <v>4844</v>
      </c>
    </row>
    <row r="151" spans="1:22">
      <c r="A151" s="100"/>
      <c r="B151" s="100"/>
      <c r="C151" s="100"/>
      <c r="D151" s="100"/>
      <c r="E151" s="100"/>
      <c r="G151" s="100"/>
      <c r="H151" s="100"/>
      <c r="I151" s="100"/>
      <c r="J151" s="100"/>
      <c r="K151" s="100"/>
      <c r="L151" s="100"/>
      <c r="M151" s="100"/>
      <c r="N151" s="100"/>
      <c r="O151" s="119"/>
      <c r="P151" s="100"/>
      <c r="Q151" s="100"/>
      <c r="R151" s="119"/>
      <c r="S151" s="152" t="s">
        <v>3150</v>
      </c>
      <c r="T151" s="126">
        <v>1795</v>
      </c>
      <c r="U151" s="95" t="s">
        <v>240</v>
      </c>
      <c r="V151" s="94" t="s">
        <v>4844</v>
      </c>
    </row>
    <row r="152" spans="1:22">
      <c r="A152" s="100"/>
      <c r="B152" s="100"/>
      <c r="C152" s="100"/>
      <c r="D152" s="100"/>
      <c r="E152" s="100"/>
      <c r="G152" s="100"/>
      <c r="H152" s="100"/>
      <c r="I152" s="100"/>
      <c r="J152" s="100"/>
      <c r="K152" s="100"/>
      <c r="L152" s="100"/>
      <c r="M152" s="100"/>
      <c r="N152" s="100"/>
      <c r="O152" s="119"/>
      <c r="P152" s="100"/>
      <c r="Q152" s="100"/>
      <c r="R152" s="119"/>
      <c r="S152" s="153" t="s">
        <v>3154</v>
      </c>
      <c r="T152" s="127">
        <v>1800</v>
      </c>
      <c r="U152" s="95" t="s">
        <v>241</v>
      </c>
      <c r="V152" s="94" t="s">
        <v>4844</v>
      </c>
    </row>
    <row r="153" spans="1:22">
      <c r="A153" s="100"/>
      <c r="B153" s="100"/>
      <c r="C153" s="100"/>
      <c r="D153" s="100"/>
      <c r="E153" s="100"/>
      <c r="G153" s="100"/>
      <c r="H153" s="100"/>
      <c r="I153" s="100"/>
      <c r="J153" s="100"/>
      <c r="K153" s="100"/>
      <c r="L153" s="100"/>
      <c r="M153" s="100"/>
      <c r="N153" s="100"/>
      <c r="O153" s="119"/>
      <c r="P153" s="100"/>
      <c r="Q153" s="100"/>
      <c r="R153" s="119"/>
      <c r="S153" s="152" t="s">
        <v>3157</v>
      </c>
      <c r="T153" s="126">
        <v>1804</v>
      </c>
      <c r="U153" s="95"/>
      <c r="V153" s="94" t="s">
        <v>4861</v>
      </c>
    </row>
    <row r="154" spans="1:22">
      <c r="A154" s="100"/>
      <c r="B154" s="100"/>
      <c r="C154" s="100"/>
      <c r="D154" s="100"/>
      <c r="E154" s="100"/>
      <c r="G154" s="100"/>
      <c r="H154" s="100"/>
      <c r="I154" s="100"/>
      <c r="J154" s="100"/>
      <c r="K154" s="100"/>
      <c r="L154" s="100"/>
      <c r="M154" s="100"/>
      <c r="N154" s="100"/>
      <c r="O154" s="119"/>
      <c r="P154" s="100"/>
      <c r="Q154" s="100"/>
      <c r="R154" s="119"/>
      <c r="S154" s="153" t="s">
        <v>3161</v>
      </c>
      <c r="T154" s="127">
        <v>1791</v>
      </c>
      <c r="U154" s="95" t="s">
        <v>242</v>
      </c>
      <c r="V154" s="94" t="s">
        <v>4862</v>
      </c>
    </row>
    <row r="155" spans="1:22">
      <c r="A155" s="100"/>
      <c r="B155" s="100"/>
      <c r="C155" s="100"/>
      <c r="D155" s="100"/>
      <c r="E155" s="100"/>
      <c r="G155" s="100"/>
      <c r="H155" s="100"/>
      <c r="I155" s="100"/>
      <c r="J155" s="100"/>
      <c r="K155" s="100"/>
      <c r="L155" s="100"/>
      <c r="M155" s="100"/>
      <c r="N155" s="100"/>
      <c r="O155" s="119"/>
      <c r="P155" s="100"/>
      <c r="Q155" s="100"/>
      <c r="R155" s="119"/>
      <c r="S155" s="152" t="s">
        <v>3164</v>
      </c>
      <c r="T155" s="126">
        <v>1789</v>
      </c>
      <c r="U155" s="95" t="s">
        <v>243</v>
      </c>
      <c r="V155" s="94" t="s">
        <v>4863</v>
      </c>
    </row>
    <row r="156" spans="1:22">
      <c r="A156" s="100"/>
      <c r="B156" s="100"/>
      <c r="C156" s="100"/>
      <c r="D156" s="100"/>
      <c r="E156" s="100"/>
      <c r="G156" s="100"/>
      <c r="H156" s="100"/>
      <c r="I156" s="100"/>
      <c r="J156" s="100"/>
      <c r="K156" s="100"/>
      <c r="L156" s="100"/>
      <c r="M156" s="100"/>
      <c r="N156" s="100"/>
      <c r="O156" s="119"/>
      <c r="P156" s="100"/>
      <c r="Q156" s="100"/>
      <c r="R156" s="119"/>
      <c r="S156" s="153" t="s">
        <v>3167</v>
      </c>
      <c r="T156" s="127">
        <v>1782</v>
      </c>
      <c r="U156" s="95"/>
      <c r="V156" s="94" t="s">
        <v>4864</v>
      </c>
    </row>
    <row r="157" spans="1:22">
      <c r="A157" s="100"/>
      <c r="B157" s="100"/>
      <c r="C157" s="100"/>
      <c r="D157" s="100"/>
      <c r="E157" s="100"/>
      <c r="G157" s="100"/>
      <c r="H157" s="100"/>
      <c r="I157" s="100"/>
      <c r="J157" s="100"/>
      <c r="K157" s="100"/>
      <c r="L157" s="100"/>
      <c r="M157" s="100"/>
      <c r="N157" s="100"/>
      <c r="O157" s="119"/>
      <c r="P157" s="100"/>
      <c r="Q157" s="100"/>
      <c r="R157" s="119"/>
      <c r="S157" s="152" t="s">
        <v>3171</v>
      </c>
      <c r="T157" s="126">
        <v>1835</v>
      </c>
      <c r="U157" s="95" t="s">
        <v>244</v>
      </c>
      <c r="V157" s="94" t="s">
        <v>4750</v>
      </c>
    </row>
    <row r="158" spans="1:22">
      <c r="A158" s="100"/>
      <c r="B158" s="100"/>
      <c r="C158" s="100"/>
      <c r="D158" s="100"/>
      <c r="E158" s="100"/>
      <c r="G158" s="100"/>
      <c r="H158" s="100"/>
      <c r="I158" s="100"/>
      <c r="J158" s="100"/>
      <c r="K158" s="100"/>
      <c r="L158" s="100"/>
      <c r="M158" s="100"/>
      <c r="N158" s="100"/>
      <c r="O158" s="119"/>
      <c r="P158" s="100"/>
      <c r="Q158" s="100"/>
      <c r="R158" s="119"/>
      <c r="S158" s="153" t="s">
        <v>3174</v>
      </c>
      <c r="T158" s="127">
        <v>1849</v>
      </c>
      <c r="U158" s="95" t="s">
        <v>245</v>
      </c>
      <c r="V158" s="94" t="s">
        <v>4765</v>
      </c>
    </row>
    <row r="159" spans="1:22">
      <c r="A159" s="100"/>
      <c r="B159" s="100"/>
      <c r="C159" s="100"/>
      <c r="D159" s="100"/>
      <c r="E159" s="100"/>
      <c r="G159" s="100"/>
      <c r="H159" s="100"/>
      <c r="I159" s="100"/>
      <c r="J159" s="100"/>
      <c r="K159" s="100"/>
      <c r="L159" s="100"/>
      <c r="M159" s="100"/>
      <c r="N159" s="100"/>
      <c r="O159" s="119"/>
      <c r="P159" s="100"/>
      <c r="Q159" s="100"/>
      <c r="R159" s="119"/>
      <c r="S159" s="152" t="s">
        <v>3176</v>
      </c>
      <c r="T159" s="126">
        <v>1789</v>
      </c>
      <c r="U159" s="95"/>
      <c r="V159" s="94" t="s">
        <v>4865</v>
      </c>
    </row>
    <row r="160" spans="1:22">
      <c r="A160" s="100"/>
      <c r="B160" s="100"/>
      <c r="C160" s="100"/>
      <c r="D160" s="100"/>
      <c r="E160" s="100"/>
      <c r="G160" s="100"/>
      <c r="H160" s="100"/>
      <c r="I160" s="100"/>
      <c r="J160" s="100"/>
      <c r="K160" s="100"/>
      <c r="L160" s="100"/>
      <c r="M160" s="100"/>
      <c r="N160" s="100"/>
      <c r="O160" s="119"/>
      <c r="P160" s="100"/>
      <c r="Q160" s="100"/>
      <c r="R160" s="119"/>
      <c r="S160" s="153" t="s">
        <v>3179</v>
      </c>
      <c r="T160" s="127">
        <v>1795</v>
      </c>
      <c r="U160" s="95" t="s">
        <v>246</v>
      </c>
      <c r="V160" s="94" t="s">
        <v>4866</v>
      </c>
    </row>
    <row r="161" spans="1:22">
      <c r="A161" s="100"/>
      <c r="B161" s="100"/>
      <c r="C161" s="100"/>
      <c r="D161" s="100"/>
      <c r="E161" s="100"/>
      <c r="G161" s="100"/>
      <c r="H161" s="100"/>
      <c r="I161" s="100"/>
      <c r="J161" s="100"/>
      <c r="K161" s="100"/>
      <c r="L161" s="100"/>
      <c r="M161" s="100"/>
      <c r="N161" s="100"/>
      <c r="O161" s="119"/>
      <c r="P161" s="100"/>
      <c r="Q161" s="100"/>
      <c r="R161" s="119"/>
      <c r="S161" s="152" t="s">
        <v>3181</v>
      </c>
      <c r="T161" s="126">
        <v>1815</v>
      </c>
      <c r="U161" s="95" t="s">
        <v>247</v>
      </c>
      <c r="V161" s="94"/>
    </row>
    <row r="162" spans="1:22">
      <c r="A162" s="100"/>
      <c r="B162" s="100"/>
      <c r="C162" s="100"/>
      <c r="D162" s="100"/>
      <c r="E162" s="100"/>
      <c r="G162" s="100"/>
      <c r="H162" s="100"/>
      <c r="I162" s="100"/>
      <c r="J162" s="100"/>
      <c r="K162" s="100"/>
      <c r="L162" s="100"/>
      <c r="M162" s="100"/>
      <c r="N162" s="100"/>
      <c r="O162" s="119"/>
      <c r="P162" s="100"/>
      <c r="Q162" s="100"/>
      <c r="R162" s="119"/>
      <c r="S162" s="153" t="s">
        <v>3185</v>
      </c>
      <c r="T162" s="127">
        <v>1807</v>
      </c>
      <c r="U162" s="95"/>
      <c r="V162" s="94" t="s">
        <v>210</v>
      </c>
    </row>
    <row r="163" spans="1:22">
      <c r="A163" s="100"/>
      <c r="B163" s="100"/>
      <c r="C163" s="100"/>
      <c r="D163" s="100"/>
      <c r="E163" s="100"/>
      <c r="G163" s="100"/>
      <c r="H163" s="100"/>
      <c r="I163" s="100"/>
      <c r="J163" s="100"/>
      <c r="K163" s="100"/>
      <c r="L163" s="100"/>
      <c r="M163" s="100"/>
      <c r="N163" s="100"/>
      <c r="O163" s="119"/>
      <c r="P163" s="100"/>
      <c r="Q163" s="100"/>
      <c r="R163" s="119"/>
      <c r="S163" s="152" t="s">
        <v>3188</v>
      </c>
      <c r="T163" s="126">
        <v>1787</v>
      </c>
      <c r="U163" s="95" t="s">
        <v>248</v>
      </c>
      <c r="V163" s="94"/>
    </row>
    <row r="164" spans="1:22">
      <c r="A164" s="100"/>
      <c r="B164" s="100"/>
      <c r="C164" s="100"/>
      <c r="D164" s="100"/>
      <c r="E164" s="100"/>
      <c r="G164" s="100"/>
      <c r="H164" s="100"/>
      <c r="I164" s="100"/>
      <c r="J164" s="100"/>
      <c r="K164" s="100"/>
      <c r="L164" s="100"/>
      <c r="M164" s="100"/>
      <c r="N164" s="100"/>
      <c r="O164" s="119"/>
      <c r="P164" s="100"/>
      <c r="Q164" s="100"/>
      <c r="R164" s="119"/>
      <c r="S164" s="153" t="s">
        <v>3191</v>
      </c>
      <c r="T164" s="127">
        <v>1799</v>
      </c>
      <c r="U164" s="95" t="s">
        <v>249</v>
      </c>
      <c r="V164" s="94" t="s">
        <v>1155</v>
      </c>
    </row>
    <row r="165" spans="1:22">
      <c r="A165" s="100"/>
      <c r="B165" s="100"/>
      <c r="C165" s="100"/>
      <c r="D165" s="100"/>
      <c r="E165" s="100"/>
      <c r="G165" s="100"/>
      <c r="H165" s="100"/>
      <c r="I165" s="100"/>
      <c r="J165" s="100"/>
      <c r="K165" s="100"/>
      <c r="L165" s="100"/>
      <c r="M165" s="100"/>
      <c r="N165" s="100"/>
      <c r="O165" s="119"/>
      <c r="P165" s="100"/>
      <c r="Q165" s="100"/>
      <c r="R165" s="119"/>
      <c r="S165" s="152" t="s">
        <v>3194</v>
      </c>
      <c r="T165" s="126">
        <v>1823</v>
      </c>
      <c r="U165" s="95" t="s">
        <v>250</v>
      </c>
      <c r="V165" s="94" t="s">
        <v>1157</v>
      </c>
    </row>
    <row r="166" spans="1:22">
      <c r="A166" s="100"/>
      <c r="B166" s="100"/>
      <c r="C166" s="100"/>
      <c r="D166" s="100"/>
      <c r="E166" s="100"/>
      <c r="G166" s="100"/>
      <c r="H166" s="100"/>
      <c r="I166" s="100"/>
      <c r="J166" s="100"/>
      <c r="K166" s="100"/>
      <c r="L166" s="100"/>
      <c r="M166" s="100"/>
      <c r="N166" s="100"/>
      <c r="O166" s="119"/>
      <c r="P166" s="100"/>
      <c r="Q166" s="100"/>
      <c r="R166" s="119"/>
      <c r="S166" s="153" t="s">
        <v>5097</v>
      </c>
      <c r="T166" s="127">
        <v>1794</v>
      </c>
      <c r="U166" s="95" t="s">
        <v>251</v>
      </c>
      <c r="V166" s="94"/>
    </row>
    <row r="167" spans="1:22">
      <c r="A167" s="100"/>
      <c r="B167" s="100"/>
      <c r="C167" s="100"/>
      <c r="D167" s="100"/>
      <c r="E167" s="100"/>
      <c r="G167" s="100"/>
      <c r="H167" s="100"/>
      <c r="I167" s="100"/>
      <c r="J167" s="100"/>
      <c r="K167" s="100"/>
      <c r="L167" s="100"/>
      <c r="M167" s="100"/>
      <c r="N167" s="100"/>
      <c r="O167" s="119"/>
      <c r="P167" s="100"/>
      <c r="Q167" s="100"/>
      <c r="R167" s="119"/>
      <c r="S167" s="152" t="s">
        <v>5098</v>
      </c>
      <c r="T167" s="126">
        <v>1799</v>
      </c>
      <c r="U167" s="95" t="s">
        <v>252</v>
      </c>
      <c r="V167" s="94" t="s">
        <v>1159</v>
      </c>
    </row>
    <row r="168" spans="1:22">
      <c r="A168" s="100"/>
      <c r="B168" s="100"/>
      <c r="C168" s="100"/>
      <c r="D168" s="100"/>
      <c r="E168" s="100"/>
      <c r="G168" s="100"/>
      <c r="H168" s="100"/>
      <c r="I168" s="100"/>
      <c r="J168" s="100"/>
      <c r="K168" s="100"/>
      <c r="L168" s="100"/>
      <c r="M168" s="100"/>
      <c r="N168" s="100"/>
      <c r="O168" s="119"/>
      <c r="P168" s="100"/>
      <c r="Q168" s="100"/>
      <c r="R168" s="119"/>
      <c r="S168" s="153" t="s">
        <v>5099</v>
      </c>
      <c r="T168" s="127">
        <v>1779</v>
      </c>
      <c r="U168" s="95"/>
      <c r="V168" s="94" t="s">
        <v>212</v>
      </c>
    </row>
    <row r="169" spans="1:22">
      <c r="A169" s="100"/>
      <c r="B169" s="100"/>
      <c r="C169" s="100"/>
      <c r="D169" s="100"/>
      <c r="E169" s="100"/>
      <c r="G169" s="100"/>
      <c r="H169" s="100"/>
      <c r="I169" s="100"/>
      <c r="J169" s="100"/>
      <c r="K169" s="100"/>
      <c r="L169" s="100"/>
      <c r="M169" s="100"/>
      <c r="N169" s="100"/>
      <c r="O169" s="119"/>
      <c r="P169" s="100"/>
      <c r="Q169" s="100"/>
      <c r="R169" s="119"/>
      <c r="S169" s="152" t="s">
        <v>5100</v>
      </c>
      <c r="T169" s="126">
        <v>1797</v>
      </c>
      <c r="U169" s="95" t="s">
        <v>253</v>
      </c>
      <c r="V169" s="94" t="s">
        <v>214</v>
      </c>
    </row>
    <row r="170" spans="1:22">
      <c r="A170" s="100"/>
      <c r="B170" s="100"/>
      <c r="C170" s="100"/>
      <c r="D170" s="100"/>
      <c r="E170" s="100"/>
      <c r="G170" s="100"/>
      <c r="H170" s="100"/>
      <c r="I170" s="100"/>
      <c r="J170" s="100"/>
      <c r="K170" s="100"/>
      <c r="L170" s="100"/>
      <c r="M170" s="100"/>
      <c r="N170" s="100"/>
      <c r="O170" s="119"/>
      <c r="P170" s="100"/>
      <c r="Q170" s="100"/>
      <c r="R170" s="119"/>
      <c r="S170" s="153" t="s">
        <v>5101</v>
      </c>
      <c r="T170" s="127">
        <v>1791</v>
      </c>
      <c r="U170" s="95"/>
      <c r="V170" s="94" t="s">
        <v>215</v>
      </c>
    </row>
    <row r="171" spans="1:22">
      <c r="A171" s="100"/>
      <c r="B171" s="100"/>
      <c r="C171" s="100"/>
      <c r="D171" s="100"/>
      <c r="E171" s="100"/>
      <c r="G171" s="100"/>
      <c r="H171" s="100"/>
      <c r="I171" s="100"/>
      <c r="J171" s="100"/>
      <c r="K171" s="100"/>
      <c r="L171" s="100"/>
      <c r="M171" s="100"/>
      <c r="N171" s="100"/>
      <c r="O171" s="119"/>
      <c r="P171" s="100"/>
      <c r="Q171" s="100"/>
      <c r="R171" s="119"/>
      <c r="S171" s="152" t="s">
        <v>5102</v>
      </c>
      <c r="T171" s="126">
        <v>1805</v>
      </c>
      <c r="U171" s="95" t="s">
        <v>254</v>
      </c>
      <c r="V171" s="94" t="s">
        <v>1164</v>
      </c>
    </row>
    <row r="172" spans="1:22">
      <c r="O172" s="119"/>
      <c r="R172" s="119"/>
      <c r="S172" s="153" t="s">
        <v>5103</v>
      </c>
      <c r="T172" s="127">
        <v>1803</v>
      </c>
      <c r="U172" s="95"/>
      <c r="V172" s="94" t="s">
        <v>216</v>
      </c>
    </row>
    <row r="173" spans="1:22">
      <c r="O173" s="119"/>
      <c r="R173" s="119"/>
      <c r="S173" s="152" t="s">
        <v>5104</v>
      </c>
      <c r="T173" s="126">
        <v>1786</v>
      </c>
      <c r="U173" s="95" t="s">
        <v>255</v>
      </c>
      <c r="V173" s="94" t="s">
        <v>217</v>
      </c>
    </row>
    <row r="174" spans="1:22">
      <c r="O174" s="119"/>
      <c r="R174" s="119"/>
      <c r="S174" s="153" t="s">
        <v>5105</v>
      </c>
      <c r="T174" s="127">
        <v>1819</v>
      </c>
      <c r="U174" s="95" t="s">
        <v>256</v>
      </c>
      <c r="V174" s="94" t="s">
        <v>218</v>
      </c>
    </row>
    <row r="175" spans="1:22">
      <c r="O175" s="119"/>
      <c r="R175" s="119"/>
      <c r="S175" s="152" t="s">
        <v>5106</v>
      </c>
      <c r="T175" s="126">
        <v>1793</v>
      </c>
      <c r="U175" s="95" t="s">
        <v>257</v>
      </c>
      <c r="V175" s="94" t="s">
        <v>1169</v>
      </c>
    </row>
    <row r="176" spans="1:22">
      <c r="O176" s="119"/>
      <c r="R176" s="119"/>
      <c r="S176" s="153" t="s">
        <v>5107</v>
      </c>
      <c r="T176" s="127">
        <v>1854</v>
      </c>
      <c r="U176" s="95" t="s">
        <v>258</v>
      </c>
      <c r="V176" s="94" t="s">
        <v>220</v>
      </c>
    </row>
    <row r="177" spans="15:22">
      <c r="O177" s="119"/>
      <c r="R177" s="119"/>
      <c r="S177" s="152" t="s">
        <v>3224</v>
      </c>
      <c r="T177" s="126">
        <v>1800</v>
      </c>
      <c r="U177" s="95" t="s">
        <v>259</v>
      </c>
      <c r="V177" s="94" t="s">
        <v>221</v>
      </c>
    </row>
    <row r="178" spans="15:22">
      <c r="O178" s="119"/>
      <c r="R178" s="119"/>
      <c r="S178" s="153" t="s">
        <v>3228</v>
      </c>
      <c r="T178" s="127">
        <v>1810</v>
      </c>
      <c r="U178" s="95" t="s">
        <v>260</v>
      </c>
      <c r="V178" s="94" t="s">
        <v>1173</v>
      </c>
    </row>
    <row r="179" spans="15:22">
      <c r="O179" s="119"/>
      <c r="R179" s="119"/>
      <c r="S179" s="152" t="s">
        <v>4614</v>
      </c>
      <c r="T179" s="126">
        <v>1817</v>
      </c>
      <c r="U179" s="95" t="s">
        <v>261</v>
      </c>
      <c r="V179" s="94" t="s">
        <v>223</v>
      </c>
    </row>
    <row r="180" spans="15:22">
      <c r="O180" s="119"/>
      <c r="R180" s="119"/>
      <c r="S180" s="153" t="s">
        <v>4615</v>
      </c>
      <c r="T180" s="127">
        <v>1787</v>
      </c>
      <c r="U180" s="95"/>
      <c r="V180" s="94" t="s">
        <v>1176</v>
      </c>
    </row>
    <row r="181" spans="15:22">
      <c r="O181" s="119"/>
      <c r="R181" s="119"/>
      <c r="S181" s="152" t="s">
        <v>4616</v>
      </c>
      <c r="T181" s="126">
        <v>1804</v>
      </c>
      <c r="U181" s="95" t="s">
        <v>262</v>
      </c>
      <c r="V181" s="94"/>
    </row>
    <row r="182" spans="15:22">
      <c r="O182" s="119"/>
      <c r="R182" s="119"/>
      <c r="S182" s="153" t="s">
        <v>4617</v>
      </c>
      <c r="T182" s="127">
        <v>1814</v>
      </c>
      <c r="U182" s="95" t="s">
        <v>263</v>
      </c>
      <c r="V182" s="94" t="s">
        <v>1178</v>
      </c>
    </row>
    <row r="183" spans="15:22">
      <c r="O183" s="119"/>
      <c r="R183" s="119"/>
      <c r="S183" s="152" t="s">
        <v>4618</v>
      </c>
      <c r="T183" s="126">
        <v>1801</v>
      </c>
      <c r="U183" s="95"/>
      <c r="V183" s="94" t="s">
        <v>1180</v>
      </c>
    </row>
    <row r="184" spans="15:22">
      <c r="O184" s="119"/>
      <c r="R184" s="119"/>
      <c r="S184" s="153" t="s">
        <v>4619</v>
      </c>
      <c r="T184" s="127">
        <v>1786</v>
      </c>
      <c r="U184" s="95" t="s">
        <v>264</v>
      </c>
      <c r="V184" s="94" t="s">
        <v>1182</v>
      </c>
    </row>
    <row r="185" spans="15:22">
      <c r="O185" s="119"/>
      <c r="R185" s="119"/>
      <c r="S185" s="152" t="s">
        <v>4620</v>
      </c>
      <c r="T185" s="126">
        <v>1798</v>
      </c>
      <c r="U185" s="95"/>
      <c r="V185" s="94"/>
    </row>
    <row r="186" spans="15:22">
      <c r="O186" s="119"/>
      <c r="R186" s="119"/>
      <c r="S186" s="319" t="s">
        <v>4621</v>
      </c>
      <c r="T186" s="127">
        <v>1790</v>
      </c>
      <c r="U186" s="95" t="s">
        <v>265</v>
      </c>
      <c r="V186" s="94" t="s">
        <v>1184</v>
      </c>
    </row>
    <row r="187" spans="15:22">
      <c r="O187" s="119"/>
      <c r="R187" s="119"/>
      <c r="S187" s="152" t="s">
        <v>4622</v>
      </c>
      <c r="T187" s="126">
        <v>1798</v>
      </c>
      <c r="U187" s="95" t="s">
        <v>266</v>
      </c>
      <c r="V187" s="94"/>
    </row>
    <row r="188" spans="15:22">
      <c r="O188" s="119"/>
      <c r="R188" s="119"/>
      <c r="S188" s="153" t="s">
        <v>3257</v>
      </c>
      <c r="T188" s="127">
        <v>1794</v>
      </c>
      <c r="U188" s="95"/>
      <c r="V188" s="94" t="s">
        <v>1186</v>
      </c>
    </row>
    <row r="189" spans="15:22">
      <c r="O189" s="119"/>
      <c r="R189" s="119"/>
      <c r="S189" s="152" t="s">
        <v>3260</v>
      </c>
      <c r="T189" s="126">
        <v>1814</v>
      </c>
      <c r="U189" s="95" t="s">
        <v>267</v>
      </c>
      <c r="V189" s="94"/>
    </row>
    <row r="190" spans="15:22">
      <c r="O190" s="119"/>
      <c r="R190" s="119"/>
      <c r="S190" s="153" t="s">
        <v>3263</v>
      </c>
      <c r="T190" s="127">
        <v>1798</v>
      </c>
      <c r="U190" s="95"/>
      <c r="V190" s="94" t="s">
        <v>1188</v>
      </c>
    </row>
    <row r="191" spans="15:22">
      <c r="O191" s="119"/>
      <c r="R191" s="119"/>
      <c r="S191" s="152" t="s">
        <v>3266</v>
      </c>
      <c r="T191" s="126">
        <v>1804</v>
      </c>
      <c r="U191" s="95" t="s">
        <v>268</v>
      </c>
      <c r="V191" s="94"/>
    </row>
    <row r="192" spans="15:22">
      <c r="O192" s="119"/>
      <c r="R192" s="119"/>
      <c r="S192" s="153" t="s">
        <v>3269</v>
      </c>
      <c r="T192" s="127">
        <v>1823</v>
      </c>
      <c r="U192" s="95" t="s">
        <v>269</v>
      </c>
      <c r="V192" s="94" t="s">
        <v>1190</v>
      </c>
    </row>
    <row r="193" spans="15:22" ht="15.75" thickBot="1">
      <c r="O193" s="119"/>
      <c r="R193" s="119"/>
      <c r="S193" s="320" t="s">
        <v>3273</v>
      </c>
      <c r="T193" s="322">
        <v>1804</v>
      </c>
      <c r="U193" s="95" t="s">
        <v>270</v>
      </c>
      <c r="V193" s="94"/>
    </row>
    <row r="194" spans="15:22">
      <c r="O194" s="119"/>
      <c r="R194" s="119"/>
      <c r="S194" s="153" t="s">
        <v>3367</v>
      </c>
      <c r="T194" s="127">
        <v>1801</v>
      </c>
      <c r="U194" s="95" t="s">
        <v>271</v>
      </c>
      <c r="V194" s="94" t="s">
        <v>1192</v>
      </c>
    </row>
    <row r="195" spans="15:22">
      <c r="O195" s="119"/>
      <c r="R195" s="119"/>
      <c r="S195" s="152" t="s">
        <v>3370</v>
      </c>
      <c r="T195" s="126">
        <v>1801</v>
      </c>
      <c r="U195" s="95" t="s">
        <v>272</v>
      </c>
      <c r="V195" s="94"/>
    </row>
    <row r="196" spans="15:22">
      <c r="O196" s="119"/>
      <c r="R196" s="119"/>
      <c r="S196" s="153" t="s">
        <v>3372</v>
      </c>
      <c r="T196" s="127">
        <v>1784</v>
      </c>
      <c r="U196" s="95" t="s">
        <v>273</v>
      </c>
      <c r="V196" s="94" t="s">
        <v>1194</v>
      </c>
    </row>
    <row r="197" spans="15:22">
      <c r="O197" s="119"/>
      <c r="R197" s="119"/>
      <c r="S197" s="152" t="s">
        <v>3373</v>
      </c>
      <c r="T197" s="126">
        <v>1811</v>
      </c>
      <c r="U197" s="95" t="s">
        <v>274</v>
      </c>
      <c r="V197" s="94"/>
    </row>
    <row r="198" spans="15:22">
      <c r="O198" s="119"/>
      <c r="R198" s="119"/>
      <c r="S198" s="153" t="s">
        <v>971</v>
      </c>
      <c r="T198" s="127">
        <v>1794</v>
      </c>
      <c r="U198" s="95" t="s">
        <v>275</v>
      </c>
      <c r="V198" s="94" t="s">
        <v>1196</v>
      </c>
    </row>
    <row r="199" spans="15:22">
      <c r="O199" s="119"/>
      <c r="R199" s="119"/>
      <c r="S199" s="152" t="s">
        <v>3374</v>
      </c>
      <c r="T199" s="126">
        <v>1812</v>
      </c>
      <c r="U199" s="95"/>
      <c r="V199" s="94" t="s">
        <v>1198</v>
      </c>
    </row>
    <row r="200" spans="15:22">
      <c r="O200" s="119"/>
      <c r="R200" s="119"/>
      <c r="S200" s="153" t="s">
        <v>4394</v>
      </c>
      <c r="T200" s="127">
        <v>1801</v>
      </c>
      <c r="U200" s="95" t="s">
        <v>276</v>
      </c>
      <c r="V200" s="94" t="s">
        <v>1200</v>
      </c>
    </row>
    <row r="201" spans="15:22">
      <c r="O201" s="119"/>
      <c r="R201" s="119"/>
      <c r="S201" s="152" t="s">
        <v>4376</v>
      </c>
      <c r="T201" s="126">
        <v>1821</v>
      </c>
      <c r="U201" s="95" t="s">
        <v>277</v>
      </c>
      <c r="V201" s="94" t="s">
        <v>1203</v>
      </c>
    </row>
    <row r="202" spans="15:22">
      <c r="O202" s="119"/>
      <c r="R202" s="119"/>
      <c r="S202" s="153" t="s">
        <v>4377</v>
      </c>
      <c r="T202" s="127">
        <v>1802</v>
      </c>
      <c r="U202" s="95" t="s">
        <v>278</v>
      </c>
      <c r="V202" s="94"/>
    </row>
    <row r="203" spans="15:22">
      <c r="O203" s="119"/>
      <c r="R203" s="119"/>
      <c r="S203" s="152" t="s">
        <v>4378</v>
      </c>
      <c r="T203" s="126">
        <v>1798</v>
      </c>
      <c r="U203" s="95"/>
      <c r="V203" s="94" t="s">
        <v>1205</v>
      </c>
    </row>
    <row r="204" spans="15:22">
      <c r="O204" s="119"/>
      <c r="R204" s="119"/>
      <c r="S204" s="153" t="s">
        <v>4395</v>
      </c>
      <c r="T204" s="127">
        <v>1792</v>
      </c>
      <c r="U204" s="95" t="s">
        <v>279</v>
      </c>
      <c r="V204" s="94" t="s">
        <v>1207</v>
      </c>
    </row>
    <row r="205" spans="15:22">
      <c r="O205" s="119"/>
      <c r="R205" s="119"/>
      <c r="S205" s="152" t="s">
        <v>4396</v>
      </c>
      <c r="T205" s="126">
        <v>1827</v>
      </c>
      <c r="U205" s="95" t="s">
        <v>280</v>
      </c>
      <c r="V205" s="94"/>
    </row>
    <row r="206" spans="15:22">
      <c r="O206" s="119"/>
      <c r="R206" s="119"/>
      <c r="S206" s="153" t="s">
        <v>4381</v>
      </c>
      <c r="T206" s="127">
        <v>1808</v>
      </c>
      <c r="U206" s="95" t="s">
        <v>281</v>
      </c>
      <c r="V206" s="94" t="s">
        <v>1209</v>
      </c>
    </row>
    <row r="207" spans="15:22">
      <c r="O207" s="119"/>
      <c r="R207" s="119"/>
      <c r="S207" s="162" t="s">
        <v>4397</v>
      </c>
      <c r="T207" s="160">
        <v>1803</v>
      </c>
      <c r="U207" s="343" t="s">
        <v>282</v>
      </c>
      <c r="V207" s="94"/>
    </row>
    <row r="208" spans="15:22">
      <c r="O208" s="119"/>
      <c r="R208" s="119"/>
      <c r="S208" s="162" t="s">
        <v>4398</v>
      </c>
      <c r="T208" s="160">
        <v>1824</v>
      </c>
      <c r="U208" s="343"/>
      <c r="V208" s="94" t="s">
        <v>1211</v>
      </c>
    </row>
    <row r="209" spans="15:22">
      <c r="O209" s="119"/>
      <c r="R209" s="119"/>
      <c r="S209" s="162" t="s">
        <v>4323</v>
      </c>
      <c r="T209" s="160">
        <v>1833.5</v>
      </c>
      <c r="U209" s="95"/>
      <c r="V209" s="94" t="s">
        <v>1213</v>
      </c>
    </row>
    <row r="210" spans="15:22">
      <c r="O210" s="119"/>
      <c r="R210" s="119"/>
      <c r="S210" s="162" t="s">
        <v>4383</v>
      </c>
      <c r="T210" s="160">
        <v>1809</v>
      </c>
      <c r="U210" s="95" t="s">
        <v>283</v>
      </c>
      <c r="V210" s="94" t="s">
        <v>1215</v>
      </c>
    </row>
    <row r="211" spans="15:22">
      <c r="O211" s="119"/>
      <c r="R211" s="119"/>
      <c r="S211" s="162" t="s">
        <v>4312</v>
      </c>
      <c r="T211" s="160">
        <v>1832.5</v>
      </c>
      <c r="U211" s="95"/>
      <c r="V211" s="94"/>
    </row>
    <row r="212" spans="15:22">
      <c r="O212" s="119"/>
      <c r="R212" s="119"/>
      <c r="S212" s="162" t="s">
        <v>4392</v>
      </c>
      <c r="T212" s="160">
        <v>1835</v>
      </c>
      <c r="U212" s="95" t="s">
        <v>284</v>
      </c>
      <c r="V212" s="94" t="s">
        <v>1217</v>
      </c>
    </row>
    <row r="213" spans="15:22">
      <c r="O213" s="119"/>
      <c r="R213" s="119"/>
      <c r="S213" s="162" t="s">
        <v>4399</v>
      </c>
      <c r="T213" s="160">
        <v>1831</v>
      </c>
      <c r="U213" s="95"/>
      <c r="V213" s="94" t="s">
        <v>1219</v>
      </c>
    </row>
    <row r="214" spans="15:22">
      <c r="O214" s="119"/>
      <c r="R214" s="119"/>
      <c r="S214" s="162" t="s">
        <v>4400</v>
      </c>
      <c r="T214" s="160">
        <v>1779</v>
      </c>
      <c r="U214" s="95" t="s">
        <v>285</v>
      </c>
      <c r="V214" s="94"/>
    </row>
    <row r="215" spans="15:22">
      <c r="O215" s="119"/>
      <c r="R215" s="119"/>
      <c r="S215" s="162" t="s">
        <v>4401</v>
      </c>
      <c r="T215" s="160">
        <v>1810</v>
      </c>
      <c r="U215" s="95"/>
      <c r="V215" s="94" t="s">
        <v>1221</v>
      </c>
    </row>
    <row r="216" spans="15:22">
      <c r="O216" s="119"/>
      <c r="R216" s="119"/>
      <c r="S216" s="162" t="s">
        <v>4402</v>
      </c>
      <c r="T216" s="160">
        <v>1836</v>
      </c>
      <c r="U216" s="95" t="s">
        <v>286</v>
      </c>
      <c r="V216" s="94" t="s">
        <v>1223</v>
      </c>
    </row>
    <row r="217" spans="15:22">
      <c r="O217" s="119"/>
      <c r="R217" s="119"/>
      <c r="S217" s="162" t="s">
        <v>4388</v>
      </c>
      <c r="T217" s="160">
        <v>1840</v>
      </c>
      <c r="U217" s="95"/>
      <c r="V217" s="94" t="s">
        <v>1225</v>
      </c>
    </row>
    <row r="218" spans="15:22">
      <c r="O218" s="119"/>
      <c r="R218" s="119"/>
      <c r="S218" s="162" t="s">
        <v>4389</v>
      </c>
      <c r="T218" s="160">
        <v>1842</v>
      </c>
      <c r="U218" s="95" t="s">
        <v>287</v>
      </c>
      <c r="V218" s="94"/>
    </row>
    <row r="219" spans="15:22">
      <c r="O219" s="119"/>
      <c r="R219" s="119"/>
      <c r="S219" s="162" t="s">
        <v>4390</v>
      </c>
      <c r="T219" s="160">
        <v>1844</v>
      </c>
      <c r="U219" s="95"/>
      <c r="V219" s="94" t="s">
        <v>1227</v>
      </c>
    </row>
    <row r="220" spans="15:22">
      <c r="O220" s="119"/>
      <c r="R220" s="119"/>
      <c r="S220" s="162" t="s">
        <v>4391</v>
      </c>
      <c r="T220" s="160">
        <v>1847</v>
      </c>
      <c r="U220" s="95" t="s">
        <v>288</v>
      </c>
      <c r="V220" s="94"/>
    </row>
    <row r="221" spans="15:22">
      <c r="O221" s="119"/>
      <c r="R221" s="119"/>
      <c r="S221" s="152" t="s">
        <v>4403</v>
      </c>
      <c r="T221" s="126">
        <v>1798</v>
      </c>
      <c r="U221" s="95" t="s">
        <v>289</v>
      </c>
      <c r="V221" s="94" t="s">
        <v>1229</v>
      </c>
    </row>
    <row r="222" spans="15:22">
      <c r="O222" s="119"/>
      <c r="R222" s="119"/>
      <c r="S222" s="153" t="s">
        <v>4795</v>
      </c>
      <c r="T222" s="127">
        <v>1798</v>
      </c>
      <c r="U222" s="95" t="s">
        <v>290</v>
      </c>
      <c r="V222" s="94" t="s">
        <v>1231</v>
      </c>
    </row>
    <row r="223" spans="15:22">
      <c r="O223" s="119"/>
      <c r="R223" s="119"/>
      <c r="S223" s="152" t="s">
        <v>4796</v>
      </c>
      <c r="T223" s="126">
        <v>1800</v>
      </c>
      <c r="U223" s="95" t="s">
        <v>291</v>
      </c>
      <c r="V223" s="94"/>
    </row>
    <row r="224" spans="15:22">
      <c r="O224" s="119"/>
      <c r="R224" s="119"/>
      <c r="S224" s="153" t="s">
        <v>4797</v>
      </c>
      <c r="T224" s="127">
        <v>1821</v>
      </c>
      <c r="U224" s="95" t="s">
        <v>292</v>
      </c>
      <c r="V224" s="94" t="s">
        <v>1233</v>
      </c>
    </row>
    <row r="225" spans="15:22">
      <c r="O225" s="119"/>
      <c r="R225" s="119"/>
      <c r="S225" s="152" t="s">
        <v>4798</v>
      </c>
      <c r="T225" s="126">
        <v>1796</v>
      </c>
      <c r="U225" s="95"/>
      <c r="V225" s="94" t="s">
        <v>1235</v>
      </c>
    </row>
    <row r="226" spans="15:22">
      <c r="O226" s="119"/>
      <c r="R226" s="119"/>
      <c r="S226" s="153" t="s">
        <v>4724</v>
      </c>
      <c r="T226" s="127">
        <v>1800</v>
      </c>
      <c r="U226" s="95" t="s">
        <v>293</v>
      </c>
      <c r="V226" s="94" t="s">
        <v>1237</v>
      </c>
    </row>
    <row r="227" spans="15:22">
      <c r="O227" s="119"/>
      <c r="R227" s="119"/>
      <c r="S227" s="152" t="s">
        <v>4804</v>
      </c>
      <c r="T227" s="126">
        <v>1810</v>
      </c>
      <c r="U227" s="95"/>
      <c r="V227" s="94" t="s">
        <v>1239</v>
      </c>
    </row>
    <row r="228" spans="15:22">
      <c r="O228" s="119"/>
      <c r="R228" s="119"/>
      <c r="S228" s="153" t="s">
        <v>4800</v>
      </c>
      <c r="T228" s="127">
        <v>1803</v>
      </c>
      <c r="U228" s="95" t="s">
        <v>294</v>
      </c>
      <c r="V228" s="94" t="s">
        <v>1241</v>
      </c>
    </row>
    <row r="229" spans="15:22">
      <c r="O229" s="119"/>
      <c r="R229" s="119"/>
      <c r="S229" s="152" t="s">
        <v>4805</v>
      </c>
      <c r="T229" s="126">
        <v>1790</v>
      </c>
      <c r="U229" s="95" t="s">
        <v>295</v>
      </c>
      <c r="V229" s="94"/>
    </row>
    <row r="230" spans="15:22">
      <c r="O230" s="119"/>
      <c r="R230" s="119"/>
      <c r="S230" s="153" t="s">
        <v>4806</v>
      </c>
      <c r="T230" s="127">
        <v>1794</v>
      </c>
      <c r="U230" s="95" t="s">
        <v>296</v>
      </c>
      <c r="V230" s="94" t="s">
        <v>1243</v>
      </c>
    </row>
    <row r="231" spans="15:22">
      <c r="O231" s="119"/>
      <c r="R231" s="119"/>
      <c r="S231" s="152" t="s">
        <v>3385</v>
      </c>
      <c r="T231" s="126">
        <v>1784</v>
      </c>
      <c r="U231" s="95" t="s">
        <v>297</v>
      </c>
      <c r="V231" s="94" t="s">
        <v>1245</v>
      </c>
    </row>
    <row r="232" spans="15:22">
      <c r="O232" s="119"/>
      <c r="R232" s="119"/>
      <c r="S232" s="153" t="s">
        <v>3386</v>
      </c>
      <c r="T232" s="127">
        <v>1809</v>
      </c>
      <c r="U232" s="95" t="s">
        <v>298</v>
      </c>
      <c r="V232" s="94" t="s">
        <v>1247</v>
      </c>
    </row>
    <row r="233" spans="15:22">
      <c r="O233" s="119"/>
      <c r="R233" s="119"/>
      <c r="S233" s="152" t="s">
        <v>2806</v>
      </c>
      <c r="T233" s="126">
        <v>1812</v>
      </c>
      <c r="U233" s="95" t="s">
        <v>299</v>
      </c>
      <c r="V233" s="94"/>
    </row>
    <row r="234" spans="15:22">
      <c r="O234" s="119"/>
      <c r="R234" s="119"/>
      <c r="S234" s="153" t="s">
        <v>2809</v>
      </c>
      <c r="T234" s="127">
        <v>1814</v>
      </c>
      <c r="U234" s="95" t="s">
        <v>300</v>
      </c>
      <c r="V234" s="94" t="s">
        <v>1249</v>
      </c>
    </row>
    <row r="235" spans="15:22">
      <c r="O235" s="119"/>
      <c r="R235" s="119"/>
      <c r="S235" s="152" t="s">
        <v>3388</v>
      </c>
      <c r="T235" s="126">
        <v>1849</v>
      </c>
      <c r="U235" s="95"/>
      <c r="V235" s="94"/>
    </row>
    <row r="236" spans="15:22">
      <c r="O236" s="119"/>
      <c r="R236" s="119"/>
      <c r="S236" s="153" t="s">
        <v>2817</v>
      </c>
      <c r="T236" s="127">
        <v>1821</v>
      </c>
      <c r="U236" s="95" t="s">
        <v>301</v>
      </c>
      <c r="V236" s="94" t="s">
        <v>1251</v>
      </c>
    </row>
    <row r="237" spans="15:22">
      <c r="O237" s="119"/>
      <c r="R237" s="119"/>
      <c r="S237" s="152" t="s">
        <v>2821</v>
      </c>
      <c r="T237" s="126">
        <v>1817</v>
      </c>
      <c r="U237" s="95"/>
      <c r="V237" s="94"/>
    </row>
    <row r="238" spans="15:22">
      <c r="O238" s="119"/>
      <c r="R238" s="119"/>
      <c r="S238" s="153" t="s">
        <v>2827</v>
      </c>
      <c r="T238" s="127">
        <v>1800</v>
      </c>
      <c r="U238" s="95" t="s">
        <v>302</v>
      </c>
      <c r="V238" s="94" t="s">
        <v>1253</v>
      </c>
    </row>
    <row r="239" spans="15:22">
      <c r="O239" s="119"/>
      <c r="R239" s="119"/>
      <c r="S239" s="152" t="s">
        <v>2831</v>
      </c>
      <c r="T239" s="126">
        <v>1814</v>
      </c>
      <c r="U239" s="95"/>
      <c r="V239" s="94"/>
    </row>
    <row r="240" spans="15:22">
      <c r="O240" s="119"/>
      <c r="R240" s="119"/>
      <c r="S240" s="153" t="s">
        <v>3392</v>
      </c>
      <c r="T240" s="127">
        <v>1794</v>
      </c>
      <c r="U240" s="95" t="s">
        <v>303</v>
      </c>
      <c r="V240" s="94" t="s">
        <v>1255</v>
      </c>
    </row>
    <row r="241" spans="15:22">
      <c r="O241" s="119"/>
      <c r="R241" s="119"/>
      <c r="S241" s="152" t="s">
        <v>3393</v>
      </c>
      <c r="T241" s="126" t="e">
        <v>#VALUE!</v>
      </c>
      <c r="U241" s="95"/>
      <c r="V241" s="94"/>
    </row>
    <row r="242" spans="15:22">
      <c r="O242" s="119"/>
      <c r="R242" s="119"/>
      <c r="S242" s="153" t="s">
        <v>2843</v>
      </c>
      <c r="T242" s="127">
        <v>1781</v>
      </c>
      <c r="U242" s="95" t="s">
        <v>304</v>
      </c>
      <c r="V242" s="94" t="s">
        <v>1257</v>
      </c>
    </row>
    <row r="243" spans="15:22">
      <c r="O243" s="119"/>
      <c r="R243" s="119"/>
      <c r="S243" s="152" t="s">
        <v>2847</v>
      </c>
      <c r="T243" s="126">
        <v>1819</v>
      </c>
      <c r="U243" s="95"/>
      <c r="V243" s="94" t="s">
        <v>256</v>
      </c>
    </row>
    <row r="244" spans="15:22">
      <c r="O244" s="119"/>
      <c r="R244" s="119"/>
      <c r="S244" s="153" t="s">
        <v>3396</v>
      </c>
      <c r="T244" s="127">
        <v>1795</v>
      </c>
      <c r="U244" s="95" t="s">
        <v>305</v>
      </c>
      <c r="V244" s="94" t="s">
        <v>1260</v>
      </c>
    </row>
    <row r="245" spans="15:22">
      <c r="O245" s="119"/>
      <c r="R245" s="119"/>
      <c r="S245" s="152" t="s">
        <v>2857</v>
      </c>
      <c r="T245" s="126">
        <v>1799</v>
      </c>
      <c r="U245" s="95"/>
      <c r="V245" s="94" t="s">
        <v>1262</v>
      </c>
    </row>
    <row r="246" spans="15:22">
      <c r="O246" s="119"/>
      <c r="R246" s="119"/>
      <c r="S246" s="153" t="s">
        <v>2860</v>
      </c>
      <c r="T246" s="127">
        <v>1817</v>
      </c>
      <c r="U246" s="95" t="s">
        <v>306</v>
      </c>
      <c r="V246" s="94" t="s">
        <v>260</v>
      </c>
    </row>
    <row r="247" spans="15:22">
      <c r="O247" s="119"/>
      <c r="R247" s="119"/>
      <c r="S247" s="152" t="s">
        <v>3400</v>
      </c>
      <c r="T247" s="126">
        <v>1787</v>
      </c>
      <c r="U247" s="95"/>
      <c r="V247" s="94" t="s">
        <v>1265</v>
      </c>
    </row>
    <row r="248" spans="15:22">
      <c r="O248" s="119"/>
      <c r="R248" s="119"/>
      <c r="S248" s="153" t="s">
        <v>3401</v>
      </c>
      <c r="T248" s="127">
        <v>1783</v>
      </c>
      <c r="U248" s="95" t="s">
        <v>307</v>
      </c>
      <c r="V248" s="94" t="s">
        <v>1268</v>
      </c>
    </row>
    <row r="249" spans="15:22">
      <c r="O249" s="119"/>
      <c r="R249" s="119"/>
      <c r="S249" s="152" t="s">
        <v>3403</v>
      </c>
      <c r="T249" s="126">
        <v>1814</v>
      </c>
      <c r="U249" s="95" t="s">
        <v>308</v>
      </c>
      <c r="V249" s="94" t="s">
        <v>1270</v>
      </c>
    </row>
    <row r="250" spans="15:22">
      <c r="O250" s="119"/>
      <c r="R250" s="119"/>
      <c r="S250" s="153" t="s">
        <v>2871</v>
      </c>
      <c r="T250" s="127">
        <v>1816</v>
      </c>
      <c r="U250" s="95" t="s">
        <v>309</v>
      </c>
      <c r="V250" s="94"/>
    </row>
    <row r="251" spans="15:22">
      <c r="O251" s="119"/>
      <c r="R251" s="119"/>
      <c r="S251" s="152" t="s">
        <v>2875</v>
      </c>
      <c r="T251" s="126">
        <v>1817</v>
      </c>
      <c r="U251" s="95" t="s">
        <v>310</v>
      </c>
      <c r="V251" s="94" t="s">
        <v>1273</v>
      </c>
    </row>
    <row r="252" spans="15:22">
      <c r="O252" s="119"/>
      <c r="R252" s="119"/>
      <c r="S252" s="153" t="s">
        <v>3406</v>
      </c>
      <c r="T252" s="127">
        <v>1793</v>
      </c>
      <c r="U252" s="95" t="s">
        <v>311</v>
      </c>
      <c r="V252" s="94" t="s">
        <v>1275</v>
      </c>
    </row>
    <row r="253" spans="15:22">
      <c r="O253" s="119"/>
      <c r="R253" s="119"/>
      <c r="S253" s="152" t="s">
        <v>3407</v>
      </c>
      <c r="T253" s="126">
        <v>1837</v>
      </c>
      <c r="U253" s="95" t="s">
        <v>312</v>
      </c>
      <c r="V253" s="94" t="s">
        <v>1277</v>
      </c>
    </row>
    <row r="254" spans="15:22">
      <c r="O254" s="119"/>
      <c r="R254" s="119"/>
      <c r="S254" s="153" t="s">
        <v>3408</v>
      </c>
      <c r="T254" s="127">
        <v>1805</v>
      </c>
      <c r="U254" s="95" t="s">
        <v>313</v>
      </c>
      <c r="V254" s="94" t="s">
        <v>1279</v>
      </c>
    </row>
    <row r="255" spans="15:22">
      <c r="O255" s="119"/>
      <c r="R255" s="119"/>
      <c r="S255" s="152" t="s">
        <v>3409</v>
      </c>
      <c r="T255" s="126">
        <v>1811</v>
      </c>
      <c r="U255" s="95" t="s">
        <v>314</v>
      </c>
      <c r="V255" s="94" t="s">
        <v>1281</v>
      </c>
    </row>
    <row r="256" spans="15:22">
      <c r="O256" s="119"/>
      <c r="R256" s="119"/>
      <c r="S256" s="153" t="s">
        <v>2887</v>
      </c>
      <c r="T256" s="127">
        <v>1816</v>
      </c>
      <c r="U256" s="95"/>
      <c r="V256" s="94" t="s">
        <v>1283</v>
      </c>
    </row>
    <row r="257" spans="15:22">
      <c r="O257" s="119"/>
      <c r="R257" s="119"/>
      <c r="S257" s="152" t="s">
        <v>3410</v>
      </c>
      <c r="T257" s="126">
        <v>1790</v>
      </c>
      <c r="U257" s="95" t="s">
        <v>315</v>
      </c>
      <c r="V257" s="94" t="s">
        <v>1285</v>
      </c>
    </row>
    <row r="258" spans="15:22">
      <c r="O258" s="119"/>
      <c r="R258" s="119"/>
      <c r="S258" s="153" t="s">
        <v>3413</v>
      </c>
      <c r="T258" s="127">
        <v>1798</v>
      </c>
      <c r="U258" s="95" t="s">
        <v>316</v>
      </c>
      <c r="V258" s="94"/>
    </row>
    <row r="259" spans="15:22">
      <c r="O259" s="119"/>
      <c r="R259" s="119"/>
      <c r="S259" s="152" t="s">
        <v>2891</v>
      </c>
      <c r="T259" s="126">
        <v>1799</v>
      </c>
      <c r="U259" s="95" t="s">
        <v>317</v>
      </c>
      <c r="V259" s="94" t="s">
        <v>1287</v>
      </c>
    </row>
    <row r="260" spans="15:22">
      <c r="O260" s="119"/>
      <c r="R260" s="119"/>
      <c r="S260" s="153" t="s">
        <v>2895</v>
      </c>
      <c r="T260" s="127">
        <v>1806</v>
      </c>
      <c r="U260" s="95" t="s">
        <v>317</v>
      </c>
      <c r="V260" s="94" t="s">
        <v>1289</v>
      </c>
    </row>
    <row r="261" spans="15:22">
      <c r="O261" s="119"/>
      <c r="R261" s="119"/>
      <c r="S261" s="152" t="s">
        <v>3417</v>
      </c>
      <c r="T261" s="126">
        <v>1810</v>
      </c>
      <c r="U261" s="95" t="s">
        <v>318</v>
      </c>
      <c r="V261" s="94"/>
    </row>
    <row r="262" spans="15:22">
      <c r="O262" s="119"/>
      <c r="R262" s="119"/>
      <c r="S262" s="153" t="s">
        <v>2902</v>
      </c>
      <c r="T262" s="127">
        <v>1796</v>
      </c>
      <c r="U262" s="95"/>
      <c r="V262" s="94" t="s">
        <v>1291</v>
      </c>
    </row>
    <row r="263" spans="15:22">
      <c r="O263" s="119"/>
      <c r="R263" s="119"/>
      <c r="S263" s="152" t="s">
        <v>3418</v>
      </c>
      <c r="T263" s="126">
        <v>1807</v>
      </c>
      <c r="U263" s="95" t="s">
        <v>319</v>
      </c>
      <c r="V263" s="94" t="s">
        <v>1293</v>
      </c>
    </row>
    <row r="264" spans="15:22">
      <c r="O264" s="119"/>
      <c r="R264" s="119"/>
      <c r="S264" s="153" t="s">
        <v>2909</v>
      </c>
      <c r="T264" s="127">
        <v>1824</v>
      </c>
      <c r="U264" s="95"/>
      <c r="V264" s="94" t="s">
        <v>1295</v>
      </c>
    </row>
    <row r="265" spans="15:22">
      <c r="O265" s="119"/>
      <c r="R265" s="119"/>
      <c r="S265" s="152" t="s">
        <v>3419</v>
      </c>
      <c r="T265" s="126" t="e">
        <v>#VALUE!</v>
      </c>
      <c r="U265" s="95" t="s">
        <v>320</v>
      </c>
      <c r="V265" s="94"/>
    </row>
    <row r="266" spans="15:22">
      <c r="O266" s="119"/>
      <c r="R266" s="119"/>
      <c r="S266" s="153" t="s">
        <v>3421</v>
      </c>
      <c r="T266" s="127">
        <v>1798</v>
      </c>
      <c r="U266" s="95"/>
      <c r="V266" s="94" t="s">
        <v>1297</v>
      </c>
    </row>
    <row r="267" spans="15:22">
      <c r="O267" s="119"/>
      <c r="R267" s="119"/>
      <c r="S267" s="152" t="s">
        <v>2917</v>
      </c>
      <c r="T267" s="126">
        <v>1821</v>
      </c>
      <c r="U267" s="95" t="s">
        <v>321</v>
      </c>
      <c r="V267" s="94" t="s">
        <v>1300</v>
      </c>
    </row>
    <row r="268" spans="15:22">
      <c r="O268" s="119"/>
      <c r="R268" s="119"/>
      <c r="S268" s="153" t="s">
        <v>2920</v>
      </c>
      <c r="T268" s="127">
        <v>1813</v>
      </c>
      <c r="U268" s="95"/>
      <c r="V268" s="94" t="s">
        <v>1302</v>
      </c>
    </row>
    <row r="269" spans="15:22">
      <c r="O269" s="119"/>
      <c r="R269" s="119"/>
      <c r="S269" s="152" t="s">
        <v>3423</v>
      </c>
      <c r="T269" s="126">
        <v>1783</v>
      </c>
      <c r="U269" s="95" t="s">
        <v>4879</v>
      </c>
      <c r="V269" s="94" t="s">
        <v>1304</v>
      </c>
    </row>
    <row r="270" spans="15:22">
      <c r="O270" s="119"/>
      <c r="R270" s="119"/>
      <c r="S270" s="153" t="s">
        <v>3424</v>
      </c>
      <c r="T270" s="127">
        <v>1807</v>
      </c>
      <c r="U270" s="95" t="s">
        <v>4880</v>
      </c>
      <c r="V270" s="94" t="s">
        <v>1306</v>
      </c>
    </row>
    <row r="271" spans="15:22">
      <c r="O271" s="119"/>
      <c r="R271" s="119"/>
      <c r="S271" s="152" t="s">
        <v>2928</v>
      </c>
      <c r="T271" s="126">
        <v>1794</v>
      </c>
      <c r="U271" s="95" t="s">
        <v>4881</v>
      </c>
      <c r="V271" s="94" t="s">
        <v>1308</v>
      </c>
    </row>
    <row r="272" spans="15:22">
      <c r="O272" s="119"/>
      <c r="R272" s="119"/>
      <c r="S272" s="153" t="s">
        <v>2932</v>
      </c>
      <c r="T272" s="127">
        <v>1793</v>
      </c>
      <c r="U272" s="95" t="s">
        <v>322</v>
      </c>
      <c r="V272" s="94" t="s">
        <v>1310</v>
      </c>
    </row>
    <row r="273" spans="15:22">
      <c r="O273" s="119"/>
      <c r="R273" s="119"/>
      <c r="S273" s="152" t="s">
        <v>3427</v>
      </c>
      <c r="T273" s="126">
        <v>1808</v>
      </c>
      <c r="U273" s="95" t="s">
        <v>4882</v>
      </c>
      <c r="V273" s="94" t="s">
        <v>1312</v>
      </c>
    </row>
    <row r="274" spans="15:22">
      <c r="O274" s="119"/>
      <c r="R274" s="119"/>
      <c r="S274" s="153" t="s">
        <v>3428</v>
      </c>
      <c r="T274" s="127">
        <v>1794</v>
      </c>
      <c r="U274" s="95"/>
      <c r="V274" s="94" t="s">
        <v>1314</v>
      </c>
    </row>
    <row r="275" spans="15:22">
      <c r="O275" s="119"/>
      <c r="R275" s="119"/>
      <c r="S275" s="152" t="s">
        <v>2946</v>
      </c>
      <c r="T275" s="126">
        <v>1796</v>
      </c>
      <c r="U275" s="95" t="s">
        <v>4883</v>
      </c>
      <c r="V275" s="94"/>
    </row>
    <row r="276" spans="15:22">
      <c r="O276" s="119"/>
      <c r="R276" s="119"/>
      <c r="S276" s="153" t="s">
        <v>2949</v>
      </c>
      <c r="T276" s="127">
        <v>1795</v>
      </c>
      <c r="U276" s="95"/>
      <c r="V276" s="94" t="s">
        <v>1316</v>
      </c>
    </row>
    <row r="277" spans="15:22">
      <c r="O277" s="119"/>
      <c r="R277" s="119"/>
      <c r="S277" s="152" t="s">
        <v>3429</v>
      </c>
      <c r="T277" s="126">
        <v>1793</v>
      </c>
      <c r="U277" s="95" t="s">
        <v>323</v>
      </c>
      <c r="V277" s="94" t="s">
        <v>1318</v>
      </c>
    </row>
    <row r="278" spans="15:22">
      <c r="O278" s="119"/>
      <c r="R278" s="119"/>
      <c r="S278" s="153" t="s">
        <v>2953</v>
      </c>
      <c r="T278" s="127">
        <v>1806</v>
      </c>
      <c r="U278" s="95"/>
      <c r="V278" s="94" t="s">
        <v>1320</v>
      </c>
    </row>
    <row r="279" spans="15:22">
      <c r="O279" s="119"/>
      <c r="R279" s="119"/>
      <c r="S279" s="152" t="s">
        <v>3431</v>
      </c>
      <c r="T279" s="126">
        <v>1803</v>
      </c>
      <c r="U279" s="95" t="s">
        <v>324</v>
      </c>
      <c r="V279" s="94" t="s">
        <v>1322</v>
      </c>
    </row>
    <row r="280" spans="15:22">
      <c r="O280" s="119"/>
      <c r="R280" s="119"/>
      <c r="S280" s="153" t="s">
        <v>3434</v>
      </c>
      <c r="T280" s="127">
        <v>1806</v>
      </c>
      <c r="U280" s="95"/>
      <c r="V280" s="94" t="s">
        <v>1324</v>
      </c>
    </row>
    <row r="281" spans="15:22">
      <c r="O281" s="119"/>
      <c r="R281" s="119"/>
      <c r="S281" s="152" t="s">
        <v>2957</v>
      </c>
      <c r="T281" s="126">
        <v>1796</v>
      </c>
      <c r="U281" s="95" t="s">
        <v>325</v>
      </c>
      <c r="V281" s="94" t="s">
        <v>1326</v>
      </c>
    </row>
    <row r="282" spans="15:22">
      <c r="O282" s="119"/>
      <c r="R282" s="119"/>
      <c r="S282" s="153" t="s">
        <v>2960</v>
      </c>
      <c r="T282" s="127">
        <v>1792</v>
      </c>
      <c r="U282" s="95" t="s">
        <v>326</v>
      </c>
      <c r="V282" s="94" t="s">
        <v>1328</v>
      </c>
    </row>
    <row r="283" spans="15:22">
      <c r="O283" s="119"/>
      <c r="R283" s="119"/>
      <c r="S283" s="152" t="s">
        <v>3435</v>
      </c>
      <c r="T283" s="126">
        <v>1810</v>
      </c>
      <c r="U283" s="95" t="s">
        <v>327</v>
      </c>
      <c r="V283" s="94"/>
    </row>
    <row r="284" spans="15:22">
      <c r="O284" s="119"/>
      <c r="R284" s="119"/>
      <c r="S284" s="153" t="s">
        <v>2963</v>
      </c>
      <c r="T284" s="127">
        <v>1819</v>
      </c>
      <c r="U284" s="95" t="s">
        <v>328</v>
      </c>
      <c r="V284" s="94" t="s">
        <v>280</v>
      </c>
    </row>
    <row r="285" spans="15:22">
      <c r="O285" s="119"/>
      <c r="R285" s="119"/>
      <c r="S285" s="152" t="s">
        <v>3438</v>
      </c>
      <c r="T285" s="126">
        <v>1792</v>
      </c>
      <c r="U285" s="95" t="s">
        <v>329</v>
      </c>
      <c r="V285" s="94" t="s">
        <v>282</v>
      </c>
    </row>
    <row r="286" spans="15:22">
      <c r="O286" s="119"/>
      <c r="R286" s="119"/>
      <c r="S286" s="153" t="s">
        <v>3440</v>
      </c>
      <c r="T286" s="127">
        <v>1813</v>
      </c>
      <c r="U286" s="95" t="s">
        <v>330</v>
      </c>
      <c r="V286" s="94"/>
    </row>
    <row r="287" spans="15:22">
      <c r="O287" s="119"/>
      <c r="R287" s="119"/>
      <c r="S287" s="152" t="s">
        <v>3441</v>
      </c>
      <c r="T287" s="126">
        <v>1810</v>
      </c>
      <c r="U287" s="95" t="s">
        <v>331</v>
      </c>
      <c r="V287" s="94" t="s">
        <v>1332</v>
      </c>
    </row>
    <row r="288" spans="15:22">
      <c r="O288" s="119"/>
      <c r="R288" s="119"/>
      <c r="S288" s="153" t="s">
        <v>3443</v>
      </c>
      <c r="T288" s="127">
        <v>1812</v>
      </c>
      <c r="U288" s="95" t="s">
        <v>332</v>
      </c>
      <c r="V288" s="94"/>
    </row>
    <row r="289" spans="15:22">
      <c r="O289" s="119"/>
      <c r="R289" s="119"/>
      <c r="S289" s="152" t="s">
        <v>3445</v>
      </c>
      <c r="T289" s="126">
        <v>1796</v>
      </c>
      <c r="U289" s="95" t="s">
        <v>333</v>
      </c>
      <c r="V289" s="94" t="s">
        <v>1334</v>
      </c>
    </row>
    <row r="290" spans="15:22">
      <c r="O290" s="119"/>
      <c r="R290" s="119"/>
      <c r="S290" s="153" t="s">
        <v>3446</v>
      </c>
      <c r="T290" s="127">
        <v>1801</v>
      </c>
      <c r="U290" s="95" t="s">
        <v>334</v>
      </c>
      <c r="V290" s="94"/>
    </row>
    <row r="291" spans="15:22">
      <c r="O291" s="119"/>
      <c r="R291" s="119"/>
      <c r="S291" s="152" t="s">
        <v>2599</v>
      </c>
      <c r="T291" s="126">
        <v>1794</v>
      </c>
      <c r="U291" s="95"/>
      <c r="V291" s="94" t="s">
        <v>1336</v>
      </c>
    </row>
    <row r="292" spans="15:22">
      <c r="O292" s="119"/>
      <c r="R292" s="119"/>
      <c r="S292" s="153" t="s">
        <v>3448</v>
      </c>
      <c r="T292" s="127">
        <v>1814</v>
      </c>
      <c r="U292" s="95" t="s">
        <v>335</v>
      </c>
      <c r="V292" s="94"/>
    </row>
    <row r="293" spans="15:22">
      <c r="O293" s="119"/>
      <c r="R293" s="119"/>
      <c r="S293" s="152" t="s">
        <v>2987</v>
      </c>
      <c r="T293" s="126">
        <v>1801</v>
      </c>
      <c r="U293" s="95" t="s">
        <v>336</v>
      </c>
      <c r="V293" s="94" t="s">
        <v>1338</v>
      </c>
    </row>
    <row r="294" spans="15:22">
      <c r="O294" s="119"/>
      <c r="R294" s="119"/>
      <c r="S294" s="153" t="s">
        <v>3450</v>
      </c>
      <c r="T294" s="127">
        <v>1799</v>
      </c>
      <c r="U294" s="95"/>
      <c r="V294" s="94"/>
    </row>
    <row r="295" spans="15:22">
      <c r="O295" s="119"/>
      <c r="R295" s="119"/>
      <c r="S295" s="152" t="s">
        <v>2993</v>
      </c>
      <c r="T295" s="126">
        <v>1825</v>
      </c>
      <c r="U295" s="95" t="s">
        <v>337</v>
      </c>
      <c r="V295" s="94" t="s">
        <v>1340</v>
      </c>
    </row>
    <row r="296" spans="15:22">
      <c r="O296" s="119"/>
      <c r="R296" s="119"/>
      <c r="S296" s="153" t="s">
        <v>2997</v>
      </c>
      <c r="T296" s="127">
        <v>1818</v>
      </c>
      <c r="U296" s="95" t="s">
        <v>338</v>
      </c>
      <c r="V296" s="94"/>
    </row>
    <row r="297" spans="15:22">
      <c r="O297" s="119"/>
      <c r="R297" s="119"/>
      <c r="S297" s="152" t="s">
        <v>3451</v>
      </c>
      <c r="T297" s="126">
        <v>1814</v>
      </c>
      <c r="U297" s="95" t="s">
        <v>339</v>
      </c>
      <c r="V297" s="94" t="s">
        <v>1342</v>
      </c>
    </row>
    <row r="298" spans="15:22">
      <c r="O298" s="119"/>
      <c r="R298" s="119"/>
      <c r="S298" s="153" t="s">
        <v>3004</v>
      </c>
      <c r="T298" s="127">
        <v>1776</v>
      </c>
      <c r="U298" s="95"/>
      <c r="V298" s="94"/>
    </row>
    <row r="299" spans="15:22">
      <c r="O299" s="119"/>
      <c r="R299" s="119"/>
      <c r="S299" s="152" t="s">
        <v>3008</v>
      </c>
      <c r="T299" s="126">
        <v>1810</v>
      </c>
      <c r="U299" s="95" t="s">
        <v>340</v>
      </c>
      <c r="V299" s="94" t="s">
        <v>1344</v>
      </c>
    </row>
    <row r="300" spans="15:22">
      <c r="O300" s="119"/>
      <c r="R300" s="119"/>
      <c r="S300" s="153" t="s">
        <v>3011</v>
      </c>
      <c r="T300" s="127">
        <v>1790</v>
      </c>
      <c r="U300" s="95"/>
      <c r="V300" s="94" t="s">
        <v>1346</v>
      </c>
    </row>
    <row r="301" spans="15:22">
      <c r="O301" s="119"/>
      <c r="R301" s="119"/>
      <c r="S301" s="152" t="s">
        <v>3018</v>
      </c>
      <c r="T301" s="126">
        <v>1785</v>
      </c>
      <c r="U301" s="95" t="s">
        <v>341</v>
      </c>
      <c r="V301" s="94"/>
    </row>
    <row r="302" spans="15:22">
      <c r="S302" s="153" t="s">
        <v>3453</v>
      </c>
      <c r="T302" s="127">
        <v>1798</v>
      </c>
      <c r="U302" s="95"/>
      <c r="V302" s="94" t="s">
        <v>1348</v>
      </c>
    </row>
    <row r="303" spans="15:22">
      <c r="S303" s="152" t="s">
        <v>4964</v>
      </c>
      <c r="T303" s="126">
        <v>1816</v>
      </c>
      <c r="U303" s="95" t="s">
        <v>342</v>
      </c>
      <c r="V303" s="94" t="s">
        <v>1350</v>
      </c>
    </row>
    <row r="304" spans="15:22">
      <c r="S304" s="153" t="s">
        <v>4965</v>
      </c>
      <c r="T304" s="127">
        <v>1789</v>
      </c>
      <c r="U304" s="95" t="s">
        <v>343</v>
      </c>
      <c r="V304" s="94" t="s">
        <v>1352</v>
      </c>
    </row>
    <row r="305" spans="19:22">
      <c r="S305" s="152" t="s">
        <v>4972</v>
      </c>
      <c r="T305" s="126">
        <v>1794</v>
      </c>
      <c r="U305" s="95" t="s">
        <v>344</v>
      </c>
      <c r="V305" s="94" t="s">
        <v>1355</v>
      </c>
    </row>
    <row r="306" spans="19:22">
      <c r="S306" s="153" t="s">
        <v>4973</v>
      </c>
      <c r="T306" s="127">
        <v>1798</v>
      </c>
      <c r="U306" s="95" t="s">
        <v>345</v>
      </c>
      <c r="V306" s="94" t="s">
        <v>1357</v>
      </c>
    </row>
    <row r="307" spans="19:22">
      <c r="S307" s="152" t="s">
        <v>4967</v>
      </c>
      <c r="T307" s="126">
        <v>1817</v>
      </c>
      <c r="U307" s="95" t="s">
        <v>346</v>
      </c>
      <c r="V307" s="94" t="s">
        <v>1359</v>
      </c>
    </row>
    <row r="308" spans="19:22">
      <c r="S308" s="153" t="s">
        <v>4968</v>
      </c>
      <c r="T308" s="127">
        <v>1814</v>
      </c>
      <c r="U308" s="95"/>
      <c r="V308" s="94"/>
    </row>
    <row r="309" spans="19:22">
      <c r="S309" s="152" t="s">
        <v>4969</v>
      </c>
      <c r="T309" s="126">
        <v>1812</v>
      </c>
      <c r="U309" s="95" t="s">
        <v>347</v>
      </c>
      <c r="V309" s="94" t="s">
        <v>1361</v>
      </c>
    </row>
    <row r="310" spans="19:22">
      <c r="S310" s="153" t="s">
        <v>4970</v>
      </c>
      <c r="T310" s="127">
        <v>1809</v>
      </c>
      <c r="U310" s="95"/>
      <c r="V310" s="94" t="s">
        <v>1363</v>
      </c>
    </row>
    <row r="311" spans="19:22">
      <c r="S311" s="152" t="s">
        <v>4971</v>
      </c>
      <c r="T311" s="126">
        <v>1803</v>
      </c>
      <c r="U311" s="95" t="s">
        <v>348</v>
      </c>
      <c r="V311" s="94"/>
    </row>
    <row r="312" spans="19:22">
      <c r="S312" s="153" t="s">
        <v>3457</v>
      </c>
      <c r="T312" s="127">
        <v>1833</v>
      </c>
      <c r="U312" s="95" t="s">
        <v>349</v>
      </c>
      <c r="V312" s="94" t="s">
        <v>1365</v>
      </c>
    </row>
    <row r="313" spans="19:22">
      <c r="S313" s="152" t="s">
        <v>3459</v>
      </c>
      <c r="T313" s="126">
        <v>1799</v>
      </c>
      <c r="U313" s="95" t="s">
        <v>350</v>
      </c>
      <c r="V313" s="94" t="s">
        <v>1367</v>
      </c>
    </row>
    <row r="314" spans="19:22">
      <c r="S314" s="153" t="s">
        <v>3460</v>
      </c>
      <c r="T314" s="127">
        <v>1799</v>
      </c>
      <c r="U314" s="95" t="s">
        <v>351</v>
      </c>
      <c r="V314" s="94" t="s">
        <v>297</v>
      </c>
    </row>
    <row r="315" spans="19:22">
      <c r="S315" s="152" t="s">
        <v>3057</v>
      </c>
      <c r="T315" s="126">
        <v>1809</v>
      </c>
      <c r="U315" s="95" t="s">
        <v>352</v>
      </c>
      <c r="V315" s="94" t="s">
        <v>1371</v>
      </c>
    </row>
    <row r="316" spans="19:22">
      <c r="S316" s="153" t="s">
        <v>3462</v>
      </c>
      <c r="T316" s="127">
        <v>1803</v>
      </c>
      <c r="U316" s="95" t="s">
        <v>353</v>
      </c>
      <c r="V316" s="94" t="s">
        <v>1373</v>
      </c>
    </row>
    <row r="317" spans="19:22">
      <c r="S317" s="152" t="s">
        <v>3464</v>
      </c>
      <c r="T317" s="126">
        <v>1799</v>
      </c>
      <c r="U317" s="95" t="s">
        <v>354</v>
      </c>
      <c r="V317" s="94" t="s">
        <v>1375</v>
      </c>
    </row>
    <row r="318" spans="19:22">
      <c r="S318" s="153" t="s">
        <v>3465</v>
      </c>
      <c r="T318" s="127">
        <v>1801</v>
      </c>
      <c r="U318" s="95" t="s">
        <v>355</v>
      </c>
      <c r="V318" s="94" t="s">
        <v>1377</v>
      </c>
    </row>
    <row r="319" spans="19:22">
      <c r="S319" s="152" t="s">
        <v>3466</v>
      </c>
      <c r="T319" s="126">
        <v>1795</v>
      </c>
      <c r="U319" s="95"/>
      <c r="V319" s="94"/>
    </row>
    <row r="320" spans="19:22">
      <c r="S320" s="153" t="s">
        <v>3468</v>
      </c>
      <c r="T320" s="127">
        <v>1809</v>
      </c>
      <c r="U320" s="95" t="s">
        <v>356</v>
      </c>
      <c r="V320" s="94" t="s">
        <v>1379</v>
      </c>
    </row>
    <row r="321" spans="19:22">
      <c r="S321" s="152" t="s">
        <v>3469</v>
      </c>
      <c r="T321" s="126">
        <v>1788</v>
      </c>
      <c r="U321" s="95" t="s">
        <v>357</v>
      </c>
      <c r="V321" s="94" t="s">
        <v>1381</v>
      </c>
    </row>
    <row r="322" spans="19:22">
      <c r="S322" s="153" t="s">
        <v>3470</v>
      </c>
      <c r="T322" s="127">
        <v>1826</v>
      </c>
      <c r="U322" s="95"/>
      <c r="V322" s="94" t="s">
        <v>1383</v>
      </c>
    </row>
    <row r="323" spans="19:22">
      <c r="S323" s="152" t="s">
        <v>3471</v>
      </c>
      <c r="T323" s="126">
        <v>1790</v>
      </c>
      <c r="U323" s="95" t="s">
        <v>358</v>
      </c>
      <c r="V323" s="94" t="s">
        <v>1385</v>
      </c>
    </row>
    <row r="324" spans="19:22">
      <c r="S324" s="153" t="s">
        <v>3082</v>
      </c>
      <c r="T324" s="127">
        <v>1788</v>
      </c>
      <c r="U324" s="95"/>
      <c r="V324" s="94" t="s">
        <v>1387</v>
      </c>
    </row>
    <row r="325" spans="19:22">
      <c r="S325" s="152" t="s">
        <v>3086</v>
      </c>
      <c r="T325" s="126">
        <v>1808</v>
      </c>
      <c r="U325" s="95" t="s">
        <v>359</v>
      </c>
      <c r="V325" s="94" t="s">
        <v>1389</v>
      </c>
    </row>
    <row r="326" spans="19:22">
      <c r="S326" s="153" t="s">
        <v>3474</v>
      </c>
      <c r="T326" s="127">
        <v>1804</v>
      </c>
      <c r="U326" s="95" t="s">
        <v>360</v>
      </c>
      <c r="V326" s="94"/>
    </row>
    <row r="327" spans="19:22">
      <c r="S327" s="152" t="s">
        <v>3475</v>
      </c>
      <c r="T327" s="126">
        <v>1825</v>
      </c>
      <c r="U327" s="95"/>
      <c r="V327" s="94" t="s">
        <v>1391</v>
      </c>
    </row>
    <row r="328" spans="19:22">
      <c r="S328" s="153" t="s">
        <v>3476</v>
      </c>
      <c r="T328" s="127">
        <v>1823</v>
      </c>
      <c r="U328" s="95" t="s">
        <v>361</v>
      </c>
      <c r="V328" s="94"/>
    </row>
    <row r="329" spans="19:22">
      <c r="S329" s="152" t="s">
        <v>3478</v>
      </c>
      <c r="T329" s="126">
        <v>1802</v>
      </c>
      <c r="U329" s="95"/>
      <c r="V329" s="94" t="s">
        <v>1393</v>
      </c>
    </row>
    <row r="330" spans="19:22">
      <c r="S330" s="153" t="s">
        <v>3479</v>
      </c>
      <c r="T330" s="127">
        <v>1813</v>
      </c>
      <c r="U330" s="95" t="s">
        <v>362</v>
      </c>
      <c r="V330" s="94"/>
    </row>
    <row r="331" spans="19:22">
      <c r="S331" s="152" t="s">
        <v>3480</v>
      </c>
      <c r="T331" s="126">
        <v>1814</v>
      </c>
      <c r="U331" s="95" t="s">
        <v>363</v>
      </c>
      <c r="V331" s="94" t="s">
        <v>1395</v>
      </c>
    </row>
    <row r="332" spans="19:22">
      <c r="S332" s="153" t="s">
        <v>3100</v>
      </c>
      <c r="T332" s="127">
        <v>1828</v>
      </c>
      <c r="U332" s="95" t="s">
        <v>364</v>
      </c>
      <c r="V332" s="94"/>
    </row>
    <row r="333" spans="19:22">
      <c r="S333" s="152" t="s">
        <v>3104</v>
      </c>
      <c r="T333" s="126">
        <v>1834</v>
      </c>
      <c r="U333" s="95"/>
      <c r="V333" s="94" t="s">
        <v>1397</v>
      </c>
    </row>
    <row r="334" spans="19:22">
      <c r="S334" s="153" t="s">
        <v>3107</v>
      </c>
      <c r="T334" s="127">
        <v>1829</v>
      </c>
      <c r="U334" s="95" t="s">
        <v>365</v>
      </c>
      <c r="V334" s="94"/>
    </row>
    <row r="335" spans="19:22">
      <c r="S335" s="152" t="s">
        <v>3483</v>
      </c>
      <c r="T335" s="126">
        <v>1806</v>
      </c>
      <c r="U335" s="95"/>
      <c r="V335" s="94" t="s">
        <v>1399</v>
      </c>
    </row>
    <row r="336" spans="19:22">
      <c r="S336" s="153" t="s">
        <v>3485</v>
      </c>
      <c r="T336" s="127">
        <v>1798</v>
      </c>
      <c r="U336" s="95" t="s">
        <v>366</v>
      </c>
      <c r="V336" s="94" t="s">
        <v>1401</v>
      </c>
    </row>
    <row r="337" spans="19:22">
      <c r="S337" s="152" t="s">
        <v>3486</v>
      </c>
      <c r="T337" s="126">
        <v>1823</v>
      </c>
      <c r="U337" s="95"/>
      <c r="V337" s="94"/>
    </row>
    <row r="338" spans="19:22">
      <c r="S338" s="153" t="s">
        <v>3120</v>
      </c>
      <c r="T338" s="127">
        <v>1824</v>
      </c>
      <c r="U338" s="95" t="s">
        <v>367</v>
      </c>
      <c r="V338" s="94" t="s">
        <v>1403</v>
      </c>
    </row>
    <row r="339" spans="19:22">
      <c r="S339" s="152" t="s">
        <v>3123</v>
      </c>
      <c r="T339" s="126">
        <v>1807</v>
      </c>
      <c r="U339" s="95"/>
      <c r="V339" s="94"/>
    </row>
    <row r="340" spans="19:22">
      <c r="S340" s="153" t="s">
        <v>3487</v>
      </c>
      <c r="T340" s="127">
        <v>1810</v>
      </c>
      <c r="U340" s="95" t="s">
        <v>368</v>
      </c>
      <c r="V340" s="94" t="s">
        <v>1405</v>
      </c>
    </row>
    <row r="341" spans="19:22">
      <c r="S341" s="152" t="s">
        <v>3130</v>
      </c>
      <c r="T341" s="126">
        <v>1813</v>
      </c>
      <c r="U341" s="95" t="s">
        <v>369</v>
      </c>
      <c r="V341" s="94" t="s">
        <v>1407</v>
      </c>
    </row>
    <row r="342" spans="19:22">
      <c r="S342" s="153" t="s">
        <v>3490</v>
      </c>
      <c r="T342" s="127">
        <v>1808</v>
      </c>
      <c r="U342" s="95"/>
      <c r="V342" s="94" t="s">
        <v>1409</v>
      </c>
    </row>
    <row r="343" spans="19:22">
      <c r="S343" s="152" t="s">
        <v>3137</v>
      </c>
      <c r="T343" s="126">
        <v>1819</v>
      </c>
      <c r="U343" s="95" t="s">
        <v>370</v>
      </c>
      <c r="V343" s="94" t="s">
        <v>1411</v>
      </c>
    </row>
    <row r="344" spans="19:22">
      <c r="S344" s="153" t="s">
        <v>3491</v>
      </c>
      <c r="T344" s="127">
        <v>1804</v>
      </c>
      <c r="U344" s="95"/>
      <c r="V344" s="94" t="s">
        <v>1413</v>
      </c>
    </row>
    <row r="345" spans="19:22">
      <c r="S345" s="152" t="s">
        <v>3492</v>
      </c>
      <c r="T345" s="126">
        <v>1807</v>
      </c>
      <c r="U345" s="95" t="s">
        <v>371</v>
      </c>
      <c r="V345" s="94" t="s">
        <v>310</v>
      </c>
    </row>
    <row r="346" spans="19:22">
      <c r="S346" s="153" t="s">
        <v>3495</v>
      </c>
      <c r="T346" s="127">
        <v>1791</v>
      </c>
      <c r="U346" s="95"/>
      <c r="V346" s="94" t="s">
        <v>1416</v>
      </c>
    </row>
    <row r="347" spans="19:22">
      <c r="S347" s="152" t="s">
        <v>3496</v>
      </c>
      <c r="T347" s="126">
        <v>1789</v>
      </c>
      <c r="U347" s="95" t="s">
        <v>372</v>
      </c>
      <c r="V347" s="94" t="s">
        <v>1418</v>
      </c>
    </row>
    <row r="348" spans="19:22">
      <c r="S348" s="153" t="s">
        <v>3497</v>
      </c>
      <c r="T348" s="127">
        <v>1797</v>
      </c>
      <c r="U348" s="95"/>
      <c r="V348" s="94" t="s">
        <v>314</v>
      </c>
    </row>
    <row r="349" spans="19:22">
      <c r="S349" s="152" t="s">
        <v>3500</v>
      </c>
      <c r="T349" s="126">
        <v>1802</v>
      </c>
      <c r="U349" s="95" t="s">
        <v>373</v>
      </c>
      <c r="V349" s="94" t="s">
        <v>1421</v>
      </c>
    </row>
    <row r="350" spans="19:22">
      <c r="S350" s="153" t="s">
        <v>3154</v>
      </c>
      <c r="T350" s="127">
        <v>1807</v>
      </c>
      <c r="U350" s="95" t="s">
        <v>374</v>
      </c>
      <c r="V350" s="94"/>
    </row>
    <row r="351" spans="19:22">
      <c r="S351" s="152" t="s">
        <v>3157</v>
      </c>
      <c r="T351" s="126">
        <v>1811</v>
      </c>
      <c r="U351" s="95"/>
      <c r="V351" s="94" t="s">
        <v>1423</v>
      </c>
    </row>
    <row r="352" spans="19:22">
      <c r="S352" s="153" t="s">
        <v>3161</v>
      </c>
      <c r="T352" s="127">
        <v>1798</v>
      </c>
      <c r="U352" s="95" t="s">
        <v>375</v>
      </c>
      <c r="V352" s="94" t="s">
        <v>1425</v>
      </c>
    </row>
    <row r="353" spans="19:22">
      <c r="S353" s="152" t="s">
        <v>3502</v>
      </c>
      <c r="T353" s="126">
        <v>1789</v>
      </c>
      <c r="U353" s="95"/>
      <c r="V353" s="94" t="s">
        <v>317</v>
      </c>
    </row>
    <row r="354" spans="19:22">
      <c r="S354" s="153" t="s">
        <v>3167</v>
      </c>
      <c r="T354" s="127">
        <v>1789</v>
      </c>
      <c r="U354" s="95" t="s">
        <v>376</v>
      </c>
      <c r="V354" s="94" t="s">
        <v>317</v>
      </c>
    </row>
    <row r="355" spans="19:22">
      <c r="S355" s="152" t="s">
        <v>3503</v>
      </c>
      <c r="T355" s="126">
        <v>1824</v>
      </c>
      <c r="U355" s="95" t="s">
        <v>377</v>
      </c>
      <c r="V355" s="94" t="s">
        <v>1429</v>
      </c>
    </row>
    <row r="356" spans="19:22">
      <c r="S356" s="153" t="s">
        <v>3176</v>
      </c>
      <c r="T356" s="127">
        <v>1797</v>
      </c>
      <c r="U356" s="95"/>
      <c r="V356" s="94" t="s">
        <v>1431</v>
      </c>
    </row>
    <row r="357" spans="19:22">
      <c r="S357" s="152" t="s">
        <v>3504</v>
      </c>
      <c r="T357" s="126">
        <v>1787</v>
      </c>
      <c r="U357" s="95" t="s">
        <v>378</v>
      </c>
      <c r="V357" s="94" t="s">
        <v>1433</v>
      </c>
    </row>
    <row r="358" spans="19:22">
      <c r="S358" s="153" t="s">
        <v>3505</v>
      </c>
      <c r="T358" s="127">
        <v>1835</v>
      </c>
      <c r="U358" s="95"/>
      <c r="V358" s="94" t="s">
        <v>1435</v>
      </c>
    </row>
    <row r="359" spans="19:22">
      <c r="S359" s="152" t="s">
        <v>3506</v>
      </c>
      <c r="T359" s="126">
        <v>1814</v>
      </c>
      <c r="U359" s="95" t="s">
        <v>379</v>
      </c>
      <c r="V359" s="94" t="s">
        <v>1437</v>
      </c>
    </row>
    <row r="360" spans="19:22">
      <c r="S360" s="153" t="s">
        <v>3507</v>
      </c>
      <c r="T360" s="127">
        <v>1795</v>
      </c>
      <c r="U360" s="95" t="s">
        <v>380</v>
      </c>
      <c r="V360" s="94" t="s">
        <v>1439</v>
      </c>
    </row>
    <row r="361" spans="19:22">
      <c r="S361" s="152" t="s">
        <v>3191</v>
      </c>
      <c r="T361" s="126">
        <v>1807</v>
      </c>
      <c r="U361" s="95"/>
      <c r="V361" s="94"/>
    </row>
    <row r="362" spans="19:22">
      <c r="S362" s="153" t="s">
        <v>3508</v>
      </c>
      <c r="T362" s="127">
        <v>1814</v>
      </c>
      <c r="U362" s="95" t="s">
        <v>381</v>
      </c>
      <c r="V362" s="94" t="s">
        <v>1441</v>
      </c>
    </row>
    <row r="363" spans="19:22">
      <c r="S363" s="152" t="s">
        <v>5097</v>
      </c>
      <c r="T363" s="126">
        <v>1801</v>
      </c>
      <c r="U363" s="95"/>
      <c r="V363" s="94"/>
    </row>
    <row r="364" spans="19:22">
      <c r="S364" s="153" t="s">
        <v>5098</v>
      </c>
      <c r="T364" s="127">
        <v>1806</v>
      </c>
      <c r="U364" s="95" t="s">
        <v>382</v>
      </c>
      <c r="V364" s="94" t="s">
        <v>4871</v>
      </c>
    </row>
    <row r="365" spans="19:22">
      <c r="S365" s="152" t="s">
        <v>5108</v>
      </c>
      <c r="T365" s="126">
        <v>1787</v>
      </c>
      <c r="U365" s="95" t="s">
        <v>383</v>
      </c>
      <c r="V365" s="94" t="s">
        <v>4880</v>
      </c>
    </row>
    <row r="366" spans="19:22">
      <c r="S366" s="153" t="s">
        <v>5100</v>
      </c>
      <c r="T366" s="127">
        <v>1804</v>
      </c>
      <c r="U366" s="95" t="s">
        <v>384</v>
      </c>
      <c r="V366" s="94" t="s">
        <v>4884</v>
      </c>
    </row>
    <row r="367" spans="19:22">
      <c r="S367" s="152" t="s">
        <v>5109</v>
      </c>
      <c r="T367" s="126">
        <v>1794</v>
      </c>
      <c r="U367" s="95" t="s">
        <v>385</v>
      </c>
      <c r="V367" s="94" t="s">
        <v>4872</v>
      </c>
    </row>
    <row r="368" spans="19:22">
      <c r="S368" s="153" t="s">
        <v>5102</v>
      </c>
      <c r="T368" s="127">
        <v>1812</v>
      </c>
      <c r="U368" s="95" t="s">
        <v>386</v>
      </c>
      <c r="V368" s="94"/>
    </row>
    <row r="369" spans="19:22">
      <c r="S369" s="152" t="s">
        <v>5110</v>
      </c>
      <c r="T369" s="126">
        <v>1802</v>
      </c>
      <c r="U369" s="95" t="s">
        <v>387</v>
      </c>
      <c r="V369" s="94" t="s">
        <v>4885</v>
      </c>
    </row>
    <row r="370" spans="19:22">
      <c r="S370" s="153" t="s">
        <v>5103</v>
      </c>
      <c r="T370" s="127">
        <v>1810</v>
      </c>
      <c r="U370" s="95" t="s">
        <v>388</v>
      </c>
      <c r="V370" s="94" t="s">
        <v>4886</v>
      </c>
    </row>
    <row r="371" spans="19:22">
      <c r="S371" s="152" t="s">
        <v>5104</v>
      </c>
      <c r="T371" s="126">
        <v>1794</v>
      </c>
      <c r="U371" s="95"/>
      <c r="V371" s="94" t="s">
        <v>4887</v>
      </c>
    </row>
    <row r="372" spans="19:22">
      <c r="S372" s="153" t="s">
        <v>5111</v>
      </c>
      <c r="T372" s="127">
        <v>1801</v>
      </c>
      <c r="U372" s="95" t="s">
        <v>389</v>
      </c>
      <c r="V372" s="94" t="s">
        <v>4888</v>
      </c>
    </row>
    <row r="373" spans="19:22">
      <c r="S373" s="152" t="s">
        <v>3514</v>
      </c>
      <c r="T373" s="126">
        <v>1794</v>
      </c>
      <c r="U373" s="95" t="s">
        <v>390</v>
      </c>
      <c r="V373" s="94" t="s">
        <v>4889</v>
      </c>
    </row>
    <row r="374" spans="19:22">
      <c r="S374" s="153" t="s">
        <v>3516</v>
      </c>
      <c r="T374" s="127">
        <v>1817</v>
      </c>
      <c r="U374" s="95" t="s">
        <v>391</v>
      </c>
      <c r="V374" s="94" t="s">
        <v>4890</v>
      </c>
    </row>
    <row r="375" spans="19:22">
      <c r="S375" s="152" t="s">
        <v>3517</v>
      </c>
      <c r="T375" s="126">
        <v>1809</v>
      </c>
      <c r="U375" s="95" t="s">
        <v>392</v>
      </c>
      <c r="V375" s="94"/>
    </row>
    <row r="376" spans="19:22">
      <c r="S376" s="153" t="s">
        <v>4623</v>
      </c>
      <c r="T376" s="127">
        <v>1807</v>
      </c>
      <c r="U376" s="95" t="s">
        <v>393</v>
      </c>
      <c r="V376" s="94" t="s">
        <v>1453</v>
      </c>
    </row>
    <row r="377" spans="19:22">
      <c r="S377" s="152" t="s">
        <v>4624</v>
      </c>
      <c r="T377" s="126">
        <v>1785</v>
      </c>
      <c r="U377" s="95" t="s">
        <v>394</v>
      </c>
      <c r="V377" s="94"/>
    </row>
    <row r="378" spans="19:22">
      <c r="S378" s="153" t="s">
        <v>4625</v>
      </c>
      <c r="T378" s="127">
        <v>1800</v>
      </c>
      <c r="U378" s="95" t="s">
        <v>395</v>
      </c>
      <c r="V378" s="94" t="s">
        <v>1455</v>
      </c>
    </row>
    <row r="379" spans="19:22">
      <c r="S379" s="152" t="s">
        <v>4626</v>
      </c>
      <c r="T379" s="126">
        <v>1814</v>
      </c>
      <c r="U379" s="95" t="s">
        <v>396</v>
      </c>
      <c r="V379" s="94" t="s">
        <v>1457</v>
      </c>
    </row>
    <row r="380" spans="19:22">
      <c r="S380" s="153" t="s">
        <v>4618</v>
      </c>
      <c r="T380" s="127">
        <v>1808</v>
      </c>
      <c r="U380" s="95" t="s">
        <v>397</v>
      </c>
      <c r="V380" s="94"/>
    </row>
    <row r="381" spans="19:22">
      <c r="S381" s="152" t="s">
        <v>4619</v>
      </c>
      <c r="T381" s="126">
        <v>1793</v>
      </c>
      <c r="U381" s="95" t="s">
        <v>398</v>
      </c>
      <c r="V381" s="94" t="s">
        <v>1459</v>
      </c>
    </row>
    <row r="382" spans="19:22">
      <c r="S382" s="153" t="s">
        <v>4522</v>
      </c>
      <c r="T382" s="127">
        <v>1813</v>
      </c>
      <c r="U382" s="95" t="s">
        <v>399</v>
      </c>
      <c r="V382" s="94"/>
    </row>
    <row r="383" spans="19:22">
      <c r="S383" s="152" t="s">
        <v>4621</v>
      </c>
      <c r="T383" s="126">
        <v>1797</v>
      </c>
      <c r="U383" s="95" t="s">
        <v>400</v>
      </c>
      <c r="V383" s="94" t="s">
        <v>1461</v>
      </c>
    </row>
    <row r="384" spans="19:22">
      <c r="S384" s="153" t="s">
        <v>4622</v>
      </c>
      <c r="T384" s="127">
        <v>1805</v>
      </c>
      <c r="U384" s="95" t="s">
        <v>401</v>
      </c>
      <c r="V384" s="94"/>
    </row>
    <row r="385" spans="19:22">
      <c r="S385" s="152" t="s">
        <v>3257</v>
      </c>
      <c r="T385" s="126">
        <v>1801</v>
      </c>
      <c r="U385" s="95" t="s">
        <v>402</v>
      </c>
      <c r="V385" s="94" t="s">
        <v>1463</v>
      </c>
    </row>
    <row r="386" spans="19:22">
      <c r="S386" s="153" t="s">
        <v>3522</v>
      </c>
      <c r="T386" s="127">
        <v>1814</v>
      </c>
      <c r="U386" s="95" t="s">
        <v>403</v>
      </c>
      <c r="V386" s="94"/>
    </row>
    <row r="387" spans="19:22">
      <c r="S387" s="152" t="s">
        <v>3523</v>
      </c>
      <c r="T387" s="126">
        <v>1805</v>
      </c>
      <c r="U387" s="95" t="s">
        <v>404</v>
      </c>
      <c r="V387" s="94" t="s">
        <v>1465</v>
      </c>
    </row>
    <row r="388" spans="19:22">
      <c r="S388" s="153" t="s">
        <v>3525</v>
      </c>
      <c r="T388" s="127">
        <v>1795</v>
      </c>
      <c r="U388" s="95" t="s">
        <v>405</v>
      </c>
      <c r="V388" s="94" t="s">
        <v>1467</v>
      </c>
    </row>
    <row r="389" spans="19:22">
      <c r="S389" s="152" t="s">
        <v>3526</v>
      </c>
      <c r="T389" s="126">
        <v>1817</v>
      </c>
      <c r="U389" s="95" t="s">
        <v>406</v>
      </c>
      <c r="V389" s="94" t="s">
        <v>1469</v>
      </c>
    </row>
    <row r="390" spans="19:22" ht="15.75" thickBot="1">
      <c r="S390" s="321" t="s">
        <v>3527</v>
      </c>
      <c r="T390" s="323">
        <v>1811</v>
      </c>
      <c r="U390" s="95" t="s">
        <v>407</v>
      </c>
      <c r="V390" s="94" t="s">
        <v>1471</v>
      </c>
    </row>
    <row r="391" spans="19:22">
      <c r="S391" s="152" t="s">
        <v>4394</v>
      </c>
      <c r="T391" s="126"/>
      <c r="U391" s="95" t="s">
        <v>408</v>
      </c>
      <c r="V391" s="94" t="s">
        <v>332</v>
      </c>
    </row>
    <row r="392" spans="19:22">
      <c r="S392" s="153" t="s">
        <v>4311</v>
      </c>
      <c r="T392" s="127"/>
      <c r="U392" s="95" t="s">
        <v>409</v>
      </c>
      <c r="V392" s="94" t="s">
        <v>1474</v>
      </c>
    </row>
    <row r="393" spans="19:22">
      <c r="S393" s="152" t="s">
        <v>4395</v>
      </c>
      <c r="T393" s="126"/>
      <c r="U393" s="95" t="s">
        <v>410</v>
      </c>
      <c r="V393" s="94" t="s">
        <v>333</v>
      </c>
    </row>
    <row r="394" spans="19:22">
      <c r="S394" s="153" t="s">
        <v>4404</v>
      </c>
      <c r="T394" s="127"/>
      <c r="U394" s="95" t="s">
        <v>411</v>
      </c>
      <c r="V394" s="94" t="s">
        <v>1477</v>
      </c>
    </row>
    <row r="395" spans="19:22">
      <c r="S395" s="165" t="s">
        <v>4381</v>
      </c>
      <c r="T395" s="160">
        <v>1800</v>
      </c>
      <c r="U395" s="95" t="s">
        <v>412</v>
      </c>
      <c r="V395" s="94" t="s">
        <v>1479</v>
      </c>
    </row>
    <row r="396" spans="19:22">
      <c r="S396" s="162" t="s">
        <v>4405</v>
      </c>
      <c r="T396" s="160">
        <v>1818</v>
      </c>
      <c r="U396" s="95"/>
      <c r="V396" s="94" t="s">
        <v>1481</v>
      </c>
    </row>
    <row r="397" spans="19:22">
      <c r="S397" s="162" t="s">
        <v>4406</v>
      </c>
      <c r="T397" s="160">
        <v>1829</v>
      </c>
      <c r="U397" s="95" t="s">
        <v>413</v>
      </c>
      <c r="V397" s="94"/>
    </row>
    <row r="398" spans="19:22">
      <c r="S398" s="162" t="s">
        <v>4397</v>
      </c>
      <c r="T398" s="160">
        <v>1803</v>
      </c>
      <c r="U398" s="95" t="s">
        <v>414</v>
      </c>
      <c r="V398" s="94" t="s">
        <v>1483</v>
      </c>
    </row>
    <row r="399" spans="19:22">
      <c r="S399" s="162" t="s">
        <v>4398</v>
      </c>
      <c r="T399" s="160">
        <v>1824</v>
      </c>
      <c r="U399" s="95" t="s">
        <v>415</v>
      </c>
      <c r="V399" s="94" t="s">
        <v>1485</v>
      </c>
    </row>
    <row r="400" spans="19:22">
      <c r="S400" s="162" t="s">
        <v>4323</v>
      </c>
      <c r="T400" s="160">
        <v>1833.5</v>
      </c>
      <c r="U400" s="95" t="s">
        <v>416</v>
      </c>
      <c r="V400" s="94" t="s">
        <v>1487</v>
      </c>
    </row>
    <row r="401" spans="19:22">
      <c r="S401" s="162" t="s">
        <v>4407</v>
      </c>
      <c r="T401" s="160">
        <v>1756</v>
      </c>
      <c r="U401" s="95"/>
      <c r="V401" s="94" t="s">
        <v>1489</v>
      </c>
    </row>
    <row r="402" spans="19:22">
      <c r="S402" s="162" t="s">
        <v>4408</v>
      </c>
      <c r="T402" s="160">
        <v>1796</v>
      </c>
      <c r="U402" s="95" t="s">
        <v>417</v>
      </c>
      <c r="V402" s="94" t="s">
        <v>1491</v>
      </c>
    </row>
    <row r="403" spans="19:22">
      <c r="S403" s="162" t="s">
        <v>4409</v>
      </c>
      <c r="T403" s="160">
        <v>1799</v>
      </c>
      <c r="U403" s="95" t="s">
        <v>418</v>
      </c>
      <c r="V403" s="94" t="s">
        <v>1493</v>
      </c>
    </row>
    <row r="404" spans="19:22">
      <c r="S404" s="162" t="s">
        <v>4410</v>
      </c>
      <c r="T404" s="160">
        <v>1822</v>
      </c>
      <c r="U404" s="95" t="s">
        <v>419</v>
      </c>
      <c r="V404" s="94"/>
    </row>
    <row r="405" spans="19:22">
      <c r="S405" s="162" t="s">
        <v>4411</v>
      </c>
      <c r="T405" s="160">
        <v>1829</v>
      </c>
      <c r="U405" s="95" t="s">
        <v>420</v>
      </c>
      <c r="V405" s="94" t="s">
        <v>1495</v>
      </c>
    </row>
    <row r="406" spans="19:22">
      <c r="S406" s="162" t="s">
        <v>4399</v>
      </c>
      <c r="T406" s="160">
        <v>1831</v>
      </c>
      <c r="U406" s="95"/>
      <c r="V406" s="94" t="s">
        <v>339</v>
      </c>
    </row>
    <row r="407" spans="19:22">
      <c r="S407" s="162" t="s">
        <v>4383</v>
      </c>
      <c r="T407" s="160">
        <v>1809</v>
      </c>
      <c r="U407" s="95" t="s">
        <v>421</v>
      </c>
      <c r="V407" s="94"/>
    </row>
    <row r="408" spans="19:22">
      <c r="S408" s="162" t="s">
        <v>4312</v>
      </c>
      <c r="T408" s="160">
        <v>1832.5</v>
      </c>
      <c r="U408" s="95" t="s">
        <v>422</v>
      </c>
      <c r="V408" s="94" t="s">
        <v>1498</v>
      </c>
    </row>
    <row r="409" spans="19:22">
      <c r="S409" s="162" t="s">
        <v>4400</v>
      </c>
      <c r="T409" s="160">
        <v>1779</v>
      </c>
      <c r="U409" s="95" t="s">
        <v>423</v>
      </c>
      <c r="V409" s="94"/>
    </row>
    <row r="410" spans="19:22">
      <c r="S410" s="162" t="s">
        <v>4387</v>
      </c>
      <c r="T410" s="160">
        <v>1808</v>
      </c>
      <c r="U410" s="95"/>
      <c r="V410" s="94" t="s">
        <v>1500</v>
      </c>
    </row>
    <row r="411" spans="19:22">
      <c r="S411" s="152" t="s">
        <v>3565</v>
      </c>
      <c r="T411" s="126">
        <v>1819</v>
      </c>
      <c r="U411" s="95" t="s">
        <v>424</v>
      </c>
      <c r="V411" s="94"/>
    </row>
    <row r="412" spans="19:22">
      <c r="S412" s="153" t="s">
        <v>3370</v>
      </c>
      <c r="T412" s="127">
        <v>1819</v>
      </c>
      <c r="U412" s="95" t="s">
        <v>425</v>
      </c>
      <c r="V412" s="94" t="s">
        <v>1502</v>
      </c>
    </row>
    <row r="413" spans="19:22">
      <c r="S413" s="152" t="s">
        <v>3372</v>
      </c>
      <c r="T413" s="126">
        <v>1802</v>
      </c>
      <c r="U413" s="95"/>
      <c r="V413" s="94"/>
    </row>
    <row r="414" spans="19:22">
      <c r="S414" s="153" t="s">
        <v>3569</v>
      </c>
      <c r="T414" s="127">
        <v>1794</v>
      </c>
      <c r="U414" s="95" t="s">
        <v>426</v>
      </c>
      <c r="V414" s="94" t="s">
        <v>1504</v>
      </c>
    </row>
    <row r="415" spans="19:22">
      <c r="S415" s="152" t="s">
        <v>3374</v>
      </c>
      <c r="T415" s="126">
        <v>1830</v>
      </c>
      <c r="U415" s="95" t="s">
        <v>427</v>
      </c>
      <c r="V415" s="94"/>
    </row>
    <row r="416" spans="19:22">
      <c r="S416" s="153" t="s">
        <v>3572</v>
      </c>
      <c r="T416" s="127">
        <v>1829</v>
      </c>
      <c r="U416" s="95" t="s">
        <v>428</v>
      </c>
      <c r="V416" s="94" t="s">
        <v>1506</v>
      </c>
    </row>
    <row r="417" spans="19:22">
      <c r="S417" s="152" t="s">
        <v>4412</v>
      </c>
      <c r="T417" s="126">
        <v>1804</v>
      </c>
      <c r="U417" s="95" t="s">
        <v>429</v>
      </c>
      <c r="V417" s="94" t="s">
        <v>1508</v>
      </c>
    </row>
    <row r="418" spans="19:22">
      <c r="S418" s="153" t="s">
        <v>4413</v>
      </c>
      <c r="T418" s="127">
        <v>1805</v>
      </c>
      <c r="U418" s="95"/>
      <c r="V418" s="94" t="s">
        <v>345</v>
      </c>
    </row>
    <row r="419" spans="19:22">
      <c r="S419" s="152" t="s">
        <v>4395</v>
      </c>
      <c r="T419" s="126">
        <v>1810</v>
      </c>
      <c r="U419" s="95" t="s">
        <v>430</v>
      </c>
      <c r="V419" s="94" t="s">
        <v>1511</v>
      </c>
    </row>
    <row r="420" spans="19:22">
      <c r="S420" s="196" t="s">
        <v>4404</v>
      </c>
      <c r="T420" s="198">
        <v>1799</v>
      </c>
      <c r="U420" s="95"/>
      <c r="V420" s="94"/>
    </row>
    <row r="421" spans="19:22">
      <c r="S421" s="197" t="s">
        <v>4414</v>
      </c>
      <c r="T421" s="198">
        <v>1802</v>
      </c>
      <c r="U421" s="95" t="s">
        <v>431</v>
      </c>
      <c r="V421" s="94" t="s">
        <v>1513</v>
      </c>
    </row>
    <row r="422" spans="19:22">
      <c r="S422" s="197" t="s">
        <v>4416</v>
      </c>
      <c r="T422" s="198">
        <v>1796</v>
      </c>
      <c r="U422" s="95"/>
      <c r="V422" s="94" t="s">
        <v>1515</v>
      </c>
    </row>
    <row r="423" spans="19:22">
      <c r="S423" s="197" t="s">
        <v>4417</v>
      </c>
      <c r="T423" s="198">
        <v>1816</v>
      </c>
      <c r="U423" s="95" t="s">
        <v>432</v>
      </c>
      <c r="V423" s="94" t="s">
        <v>1517</v>
      </c>
    </row>
    <row r="424" spans="19:22">
      <c r="S424" s="197" t="s">
        <v>4418</v>
      </c>
      <c r="T424" s="198">
        <v>1805</v>
      </c>
      <c r="U424" s="95" t="s">
        <v>433</v>
      </c>
      <c r="V424" s="94"/>
    </row>
    <row r="425" spans="19:22">
      <c r="S425" s="197" t="s">
        <v>4419</v>
      </c>
      <c r="T425" s="198">
        <v>1807</v>
      </c>
      <c r="U425" s="95"/>
      <c r="V425" s="94" t="s">
        <v>348</v>
      </c>
    </row>
    <row r="426" spans="19:22">
      <c r="S426" s="165" t="s">
        <v>4420</v>
      </c>
      <c r="T426" s="160">
        <v>1789</v>
      </c>
      <c r="U426" s="95" t="s">
        <v>434</v>
      </c>
      <c r="V426" s="94" t="s">
        <v>1520</v>
      </c>
    </row>
    <row r="427" spans="19:22">
      <c r="S427" s="162" t="s">
        <v>4383</v>
      </c>
      <c r="T427" s="160">
        <v>1809</v>
      </c>
      <c r="U427" s="95"/>
      <c r="V427" s="94" t="s">
        <v>1522</v>
      </c>
    </row>
    <row r="428" spans="19:22">
      <c r="S428" s="162" t="s">
        <v>4403</v>
      </c>
      <c r="T428" s="160">
        <v>1793</v>
      </c>
      <c r="U428" s="95" t="s">
        <v>435</v>
      </c>
      <c r="V428" s="94" t="s">
        <v>1524</v>
      </c>
    </row>
    <row r="429" spans="19:22">
      <c r="S429" s="162" t="s">
        <v>4381</v>
      </c>
      <c r="T429" s="160">
        <v>1800</v>
      </c>
      <c r="U429" s="95"/>
      <c r="V429" s="94" t="s">
        <v>1526</v>
      </c>
    </row>
    <row r="430" spans="19:22">
      <c r="S430" s="162" t="s">
        <v>4397</v>
      </c>
      <c r="T430" s="160">
        <v>1803</v>
      </c>
      <c r="U430" s="95" t="s">
        <v>436</v>
      </c>
      <c r="V430" s="94" t="s">
        <v>1528</v>
      </c>
    </row>
    <row r="431" spans="19:22">
      <c r="S431" s="162" t="s">
        <v>4407</v>
      </c>
      <c r="T431" s="160">
        <v>1756</v>
      </c>
      <c r="U431" s="95"/>
      <c r="V431" s="94" t="s">
        <v>1530</v>
      </c>
    </row>
    <row r="432" spans="19:22">
      <c r="S432" s="162" t="s">
        <v>4400</v>
      </c>
      <c r="T432" s="160">
        <v>1779</v>
      </c>
      <c r="U432" s="95" t="s">
        <v>437</v>
      </c>
      <c r="V432" s="94" t="s">
        <v>1532</v>
      </c>
    </row>
    <row r="433" spans="19:22">
      <c r="S433" s="162" t="s">
        <v>4421</v>
      </c>
      <c r="T433" s="160">
        <v>1806</v>
      </c>
      <c r="U433" s="95"/>
      <c r="V433" s="94"/>
    </row>
    <row r="434" spans="19:22">
      <c r="S434" s="162" t="s">
        <v>4422</v>
      </c>
      <c r="T434" s="160">
        <v>1808</v>
      </c>
      <c r="U434" s="95" t="s">
        <v>4980</v>
      </c>
      <c r="V434" s="94" t="s">
        <v>1534</v>
      </c>
    </row>
    <row r="435" spans="19:22">
      <c r="S435" s="162" t="s">
        <v>4408</v>
      </c>
      <c r="T435" s="160">
        <v>1796</v>
      </c>
      <c r="U435" s="95" t="s">
        <v>4981</v>
      </c>
      <c r="V435" s="94" t="s">
        <v>1536</v>
      </c>
    </row>
    <row r="436" spans="19:22">
      <c r="S436" s="162" t="s">
        <v>4423</v>
      </c>
      <c r="T436" s="160">
        <v>1796</v>
      </c>
      <c r="U436" s="95" t="s">
        <v>4982</v>
      </c>
      <c r="V436" s="94" t="s">
        <v>1538</v>
      </c>
    </row>
    <row r="437" spans="19:22">
      <c r="S437" s="162" t="s">
        <v>4424</v>
      </c>
      <c r="T437" s="160">
        <v>1798</v>
      </c>
      <c r="U437" s="95" t="s">
        <v>4983</v>
      </c>
      <c r="V437" s="94" t="s">
        <v>1540</v>
      </c>
    </row>
    <row r="438" spans="19:22">
      <c r="S438" s="162" t="s">
        <v>4425</v>
      </c>
      <c r="T438" s="160">
        <v>1808</v>
      </c>
      <c r="U438" s="95" t="s">
        <v>4984</v>
      </c>
      <c r="V438" s="94" t="s">
        <v>1542</v>
      </c>
    </row>
    <row r="439" spans="19:22">
      <c r="S439" s="152" t="s">
        <v>4807</v>
      </c>
      <c r="T439" s="126">
        <v>1832</v>
      </c>
      <c r="U439" s="95" t="s">
        <v>4985</v>
      </c>
      <c r="V439" s="94" t="s">
        <v>1544</v>
      </c>
    </row>
    <row r="440" spans="19:22">
      <c r="S440" s="153" t="s">
        <v>4808</v>
      </c>
      <c r="T440" s="127">
        <v>1811</v>
      </c>
      <c r="U440" s="95" t="s">
        <v>4986</v>
      </c>
      <c r="V440" s="94"/>
    </row>
    <row r="441" spans="19:22">
      <c r="S441" s="152" t="s">
        <v>4809</v>
      </c>
      <c r="T441" s="126">
        <v>1811</v>
      </c>
      <c r="U441" s="95" t="s">
        <v>4987</v>
      </c>
      <c r="V441" s="94" t="s">
        <v>1546</v>
      </c>
    </row>
    <row r="442" spans="19:22">
      <c r="S442" s="153" t="s">
        <v>4810</v>
      </c>
      <c r="T442" s="127">
        <v>1816</v>
      </c>
      <c r="U442" s="95" t="s">
        <v>4988</v>
      </c>
      <c r="V442" s="94" t="s">
        <v>1548</v>
      </c>
    </row>
    <row r="443" spans="19:22">
      <c r="S443" s="152" t="s">
        <v>4811</v>
      </c>
      <c r="T443" s="126">
        <v>1809</v>
      </c>
      <c r="U443" s="95" t="s">
        <v>4989</v>
      </c>
      <c r="V443" s="94" t="s">
        <v>1550</v>
      </c>
    </row>
    <row r="444" spans="19:22">
      <c r="S444" s="153" t="s">
        <v>4812</v>
      </c>
      <c r="T444" s="127">
        <v>1820</v>
      </c>
      <c r="U444" s="95" t="s">
        <v>4990</v>
      </c>
      <c r="V444" s="94"/>
    </row>
    <row r="445" spans="19:22">
      <c r="S445" s="152" t="s">
        <v>4813</v>
      </c>
      <c r="T445" s="126">
        <v>1803</v>
      </c>
      <c r="U445" s="95" t="s">
        <v>4991</v>
      </c>
      <c r="V445" s="94" t="s">
        <v>1552</v>
      </c>
    </row>
    <row r="446" spans="19:22">
      <c r="S446" s="153" t="s">
        <v>4805</v>
      </c>
      <c r="T446" s="127">
        <v>1808</v>
      </c>
      <c r="U446" s="95" t="s">
        <v>4992</v>
      </c>
      <c r="V446" s="94"/>
    </row>
    <row r="447" spans="19:22">
      <c r="S447" s="152" t="s">
        <v>3385</v>
      </c>
      <c r="T447" s="126">
        <v>1802</v>
      </c>
      <c r="U447" s="95" t="s">
        <v>4993</v>
      </c>
      <c r="V447" s="94" t="s">
        <v>1554</v>
      </c>
    </row>
    <row r="448" spans="19:22">
      <c r="S448" s="153" t="s">
        <v>3589</v>
      </c>
      <c r="T448" s="127">
        <v>1812</v>
      </c>
      <c r="U448" s="95" t="s">
        <v>4994</v>
      </c>
      <c r="V448" s="94"/>
    </row>
    <row r="449" spans="19:22">
      <c r="S449" s="152" t="s">
        <v>3591</v>
      </c>
      <c r="T449" s="126">
        <v>1814</v>
      </c>
      <c r="U449" s="95" t="s">
        <v>4995</v>
      </c>
      <c r="V449" s="94" t="s">
        <v>1556</v>
      </c>
    </row>
    <row r="450" spans="19:22">
      <c r="S450" s="153" t="s">
        <v>3593</v>
      </c>
      <c r="T450" s="127">
        <v>1821</v>
      </c>
      <c r="U450" s="95" t="s">
        <v>4996</v>
      </c>
      <c r="V450" s="94"/>
    </row>
    <row r="451" spans="19:22">
      <c r="S451" s="152" t="s">
        <v>3595</v>
      </c>
      <c r="T451" s="126">
        <v>1827</v>
      </c>
      <c r="U451" s="95" t="s">
        <v>4997</v>
      </c>
      <c r="V451" s="94" t="s">
        <v>1558</v>
      </c>
    </row>
    <row r="452" spans="19:22">
      <c r="S452" s="153" t="s">
        <v>3597</v>
      </c>
      <c r="T452" s="127">
        <v>1805</v>
      </c>
      <c r="U452" s="95" t="s">
        <v>4998</v>
      </c>
      <c r="V452" s="94"/>
    </row>
    <row r="453" spans="19:22">
      <c r="S453" s="152" t="s">
        <v>3599</v>
      </c>
      <c r="T453" s="126">
        <v>1812</v>
      </c>
      <c r="U453" s="95" t="s">
        <v>4999</v>
      </c>
      <c r="V453" s="94" t="s">
        <v>1560</v>
      </c>
    </row>
    <row r="454" spans="19:22">
      <c r="S454" s="153" t="s">
        <v>2827</v>
      </c>
      <c r="T454" s="127">
        <v>1834</v>
      </c>
      <c r="U454" s="95" t="s">
        <v>5000</v>
      </c>
      <c r="V454" s="94"/>
    </row>
    <row r="455" spans="19:22">
      <c r="S455" s="152" t="s">
        <v>3392</v>
      </c>
      <c r="T455" s="126">
        <v>1829</v>
      </c>
      <c r="U455" s="95" t="s">
        <v>5001</v>
      </c>
      <c r="V455" s="94" t="s">
        <v>1562</v>
      </c>
    </row>
    <row r="456" spans="19:22">
      <c r="S456" s="153" t="s">
        <v>2843</v>
      </c>
      <c r="T456" s="127">
        <v>1815</v>
      </c>
      <c r="U456" s="95" t="s">
        <v>5002</v>
      </c>
      <c r="V456" s="94" t="s">
        <v>1564</v>
      </c>
    </row>
    <row r="457" spans="19:22">
      <c r="S457" s="152" t="s">
        <v>3604</v>
      </c>
      <c r="T457" s="126">
        <v>1806</v>
      </c>
      <c r="U457" s="95" t="s">
        <v>5003</v>
      </c>
      <c r="V457" s="94" t="s">
        <v>1566</v>
      </c>
    </row>
    <row r="458" spans="19:22">
      <c r="S458" s="153" t="s">
        <v>3606</v>
      </c>
      <c r="T458" s="127">
        <v>1802</v>
      </c>
      <c r="U458" s="95" t="s">
        <v>5004</v>
      </c>
      <c r="V458" s="94"/>
    </row>
    <row r="459" spans="19:22">
      <c r="S459" s="152" t="s">
        <v>3608</v>
      </c>
      <c r="T459" s="126">
        <v>1808</v>
      </c>
      <c r="U459" s="95" t="s">
        <v>5005</v>
      </c>
      <c r="V459" s="94" t="s">
        <v>1568</v>
      </c>
    </row>
    <row r="460" spans="19:22">
      <c r="S460" s="153" t="s">
        <v>3610</v>
      </c>
      <c r="T460" s="127">
        <v>1805</v>
      </c>
      <c r="U460" s="95" t="s">
        <v>5006</v>
      </c>
      <c r="V460" s="94"/>
    </row>
    <row r="461" spans="19:22">
      <c r="S461" s="152" t="s">
        <v>3400</v>
      </c>
      <c r="T461" s="126">
        <v>1821</v>
      </c>
      <c r="U461" s="95" t="s">
        <v>5007</v>
      </c>
      <c r="V461" s="94" t="s">
        <v>1570</v>
      </c>
    </row>
    <row r="462" spans="19:22">
      <c r="S462" s="153" t="s">
        <v>3401</v>
      </c>
      <c r="T462" s="127">
        <v>1801</v>
      </c>
      <c r="U462" s="95" t="s">
        <v>5008</v>
      </c>
      <c r="V462" s="94"/>
    </row>
    <row r="463" spans="19:22">
      <c r="S463" s="152" t="s">
        <v>3614</v>
      </c>
      <c r="T463" s="126">
        <v>1827</v>
      </c>
      <c r="U463" s="95"/>
      <c r="V463" s="94" t="s">
        <v>1572</v>
      </c>
    </row>
    <row r="464" spans="19:22">
      <c r="S464" s="153" t="s">
        <v>3616</v>
      </c>
      <c r="T464" s="127">
        <v>1808</v>
      </c>
      <c r="U464" s="95" t="s">
        <v>5009</v>
      </c>
      <c r="V464" s="94" t="s">
        <v>369</v>
      </c>
    </row>
    <row r="465" spans="19:22">
      <c r="S465" s="152" t="s">
        <v>3618</v>
      </c>
      <c r="T465" s="126">
        <v>1811</v>
      </c>
      <c r="U465" s="95" t="s">
        <v>5010</v>
      </c>
      <c r="V465" s="94"/>
    </row>
    <row r="466" spans="19:22">
      <c r="S466" s="153" t="s">
        <v>3620</v>
      </c>
      <c r="T466" s="127">
        <v>1802</v>
      </c>
      <c r="U466" s="95" t="s">
        <v>5011</v>
      </c>
      <c r="V466" s="94" t="s">
        <v>1575</v>
      </c>
    </row>
    <row r="467" spans="19:22">
      <c r="S467" s="152" t="s">
        <v>3408</v>
      </c>
      <c r="T467" s="126">
        <v>1823</v>
      </c>
      <c r="U467" s="95"/>
      <c r="V467" s="94"/>
    </row>
    <row r="468" spans="19:22">
      <c r="S468" s="153" t="s">
        <v>3623</v>
      </c>
      <c r="T468" s="127">
        <v>1839</v>
      </c>
      <c r="U468" s="95" t="s">
        <v>438</v>
      </c>
      <c r="V468" s="94" t="s">
        <v>370</v>
      </c>
    </row>
    <row r="469" spans="19:22">
      <c r="S469" s="152" t="s">
        <v>3625</v>
      </c>
      <c r="T469" s="126">
        <v>1828</v>
      </c>
      <c r="U469" s="95"/>
      <c r="V469" s="94"/>
    </row>
    <row r="470" spans="19:22">
      <c r="S470" s="153" t="s">
        <v>3410</v>
      </c>
      <c r="T470" s="127">
        <v>1811</v>
      </c>
      <c r="U470" s="95" t="s">
        <v>439</v>
      </c>
      <c r="V470" s="94" t="s">
        <v>1578</v>
      </c>
    </row>
    <row r="471" spans="19:22">
      <c r="S471" s="152" t="s">
        <v>3629</v>
      </c>
      <c r="T471" s="126">
        <v>1816</v>
      </c>
      <c r="U471" s="95"/>
      <c r="V471" s="94"/>
    </row>
    <row r="472" spans="19:22">
      <c r="S472" s="153" t="s">
        <v>2891</v>
      </c>
      <c r="T472" s="127">
        <v>1832</v>
      </c>
      <c r="U472" s="95" t="s">
        <v>440</v>
      </c>
      <c r="V472" s="94" t="s">
        <v>1580</v>
      </c>
    </row>
    <row r="473" spans="19:22">
      <c r="S473" s="152" t="s">
        <v>3632</v>
      </c>
      <c r="T473" s="126">
        <v>1817</v>
      </c>
      <c r="U473" s="95"/>
      <c r="V473" s="94"/>
    </row>
    <row r="474" spans="19:22">
      <c r="S474" s="153" t="s">
        <v>3634</v>
      </c>
      <c r="T474" s="127">
        <v>1828</v>
      </c>
      <c r="U474" s="95" t="s">
        <v>441</v>
      </c>
      <c r="V474" s="94" t="s">
        <v>1582</v>
      </c>
    </row>
    <row r="475" spans="19:22">
      <c r="S475" s="152" t="s">
        <v>2902</v>
      </c>
      <c r="T475" s="126">
        <v>1830</v>
      </c>
      <c r="U475" s="95"/>
      <c r="V475" s="94" t="s">
        <v>1584</v>
      </c>
    </row>
    <row r="476" spans="19:22">
      <c r="S476" s="153" t="s">
        <v>3637</v>
      </c>
      <c r="T476" s="127">
        <v>1804</v>
      </c>
      <c r="U476" s="95" t="s">
        <v>442</v>
      </c>
      <c r="V476" s="94" t="s">
        <v>1586</v>
      </c>
    </row>
    <row r="477" spans="19:22">
      <c r="S477" s="152" t="s">
        <v>3639</v>
      </c>
      <c r="T477" s="126">
        <v>1815</v>
      </c>
      <c r="U477" s="95"/>
      <c r="V477" s="94" t="s">
        <v>1588</v>
      </c>
    </row>
    <row r="478" spans="19:22">
      <c r="S478" s="153" t="s">
        <v>3641</v>
      </c>
      <c r="T478" s="127">
        <v>1816</v>
      </c>
      <c r="U478" s="95" t="s">
        <v>443</v>
      </c>
      <c r="V478" s="94"/>
    </row>
    <row r="479" spans="19:22">
      <c r="S479" s="152" t="s">
        <v>3423</v>
      </c>
      <c r="T479" s="126">
        <v>1800</v>
      </c>
      <c r="U479" s="95" t="s">
        <v>444</v>
      </c>
      <c r="V479" s="94" t="s">
        <v>1590</v>
      </c>
    </row>
    <row r="480" spans="19:22">
      <c r="S480" s="153" t="s">
        <v>3644</v>
      </c>
      <c r="T480" s="127">
        <v>1802</v>
      </c>
      <c r="U480" s="95" t="s">
        <v>445</v>
      </c>
      <c r="V480" s="94"/>
    </row>
    <row r="481" spans="19:22">
      <c r="S481" s="152" t="s">
        <v>2928</v>
      </c>
      <c r="T481" s="126">
        <v>1828</v>
      </c>
      <c r="U481" s="95"/>
      <c r="V481" s="94" t="s">
        <v>1592</v>
      </c>
    </row>
    <row r="482" spans="19:22">
      <c r="S482" s="153" t="s">
        <v>3647</v>
      </c>
      <c r="T482" s="127">
        <v>1793</v>
      </c>
      <c r="U482" s="95" t="s">
        <v>446</v>
      </c>
      <c r="V482" s="94"/>
    </row>
    <row r="483" spans="19:22">
      <c r="S483" s="152" t="s">
        <v>3427</v>
      </c>
      <c r="T483" s="126">
        <v>1826</v>
      </c>
      <c r="U483" s="95" t="s">
        <v>447</v>
      </c>
      <c r="V483" s="94" t="s">
        <v>1594</v>
      </c>
    </row>
    <row r="484" spans="19:22">
      <c r="S484" s="153" t="s">
        <v>3428</v>
      </c>
      <c r="T484" s="127">
        <v>1812</v>
      </c>
      <c r="U484" s="95" t="s">
        <v>448</v>
      </c>
      <c r="V484" s="94"/>
    </row>
    <row r="485" spans="19:22">
      <c r="S485" s="152" t="s">
        <v>2946</v>
      </c>
      <c r="T485" s="126">
        <v>1830</v>
      </c>
      <c r="U485" s="95" t="s">
        <v>449</v>
      </c>
      <c r="V485" s="94" t="s">
        <v>376</v>
      </c>
    </row>
    <row r="486" spans="19:22">
      <c r="S486" s="153" t="s">
        <v>2949</v>
      </c>
      <c r="T486" s="127">
        <v>1829</v>
      </c>
      <c r="U486" s="95" t="s">
        <v>450</v>
      </c>
      <c r="V486" s="94"/>
    </row>
    <row r="487" spans="19:22">
      <c r="S487" s="152" t="s">
        <v>3653</v>
      </c>
      <c r="T487" s="126">
        <v>1779</v>
      </c>
      <c r="U487" s="95" t="s">
        <v>451</v>
      </c>
      <c r="V487" s="94" t="s">
        <v>1597</v>
      </c>
    </row>
    <row r="488" spans="19:22">
      <c r="S488" s="153" t="s">
        <v>3655</v>
      </c>
      <c r="T488" s="127">
        <v>1805</v>
      </c>
      <c r="U488" s="95" t="s">
        <v>452</v>
      </c>
      <c r="V488" s="94" t="s">
        <v>1599</v>
      </c>
    </row>
    <row r="489" spans="19:22">
      <c r="S489" s="152" t="s">
        <v>3431</v>
      </c>
      <c r="T489" s="126">
        <v>1821</v>
      </c>
      <c r="U489" s="95"/>
      <c r="V489" s="94"/>
    </row>
    <row r="490" spans="19:22">
      <c r="S490" s="153" t="s">
        <v>3658</v>
      </c>
      <c r="T490" s="127">
        <v>1824</v>
      </c>
      <c r="U490" s="95" t="s">
        <v>453</v>
      </c>
      <c r="V490" s="94" t="s">
        <v>1601</v>
      </c>
    </row>
    <row r="491" spans="19:22">
      <c r="S491" s="152" t="s">
        <v>3660</v>
      </c>
      <c r="T491" s="126">
        <v>1828</v>
      </c>
      <c r="U491" s="95"/>
      <c r="V491" s="94" t="s">
        <v>1603</v>
      </c>
    </row>
    <row r="492" spans="19:22">
      <c r="S492" s="153" t="s">
        <v>3662</v>
      </c>
      <c r="T492" s="127">
        <v>1799</v>
      </c>
      <c r="U492" s="95" t="s">
        <v>454</v>
      </c>
      <c r="V492" s="94"/>
    </row>
    <row r="493" spans="19:22">
      <c r="S493" s="152" t="s">
        <v>3665</v>
      </c>
      <c r="T493" s="126">
        <v>1778</v>
      </c>
      <c r="U493" s="95" t="s">
        <v>455</v>
      </c>
      <c r="V493" s="94" t="s">
        <v>1605</v>
      </c>
    </row>
    <row r="494" spans="19:22">
      <c r="S494" s="153" t="s">
        <v>3667</v>
      </c>
      <c r="T494" s="127">
        <v>1831</v>
      </c>
      <c r="U494" s="95" t="s">
        <v>456</v>
      </c>
      <c r="V494" s="94" t="s">
        <v>1607</v>
      </c>
    </row>
    <row r="495" spans="19:22">
      <c r="S495" s="152" t="s">
        <v>3669</v>
      </c>
      <c r="T495" s="126">
        <v>1828</v>
      </c>
      <c r="U495" s="95" t="s">
        <v>457</v>
      </c>
      <c r="V495" s="94" t="s">
        <v>1609</v>
      </c>
    </row>
    <row r="496" spans="19:22">
      <c r="S496" s="153" t="s">
        <v>3671</v>
      </c>
      <c r="T496" s="127">
        <v>1830</v>
      </c>
      <c r="U496" s="95" t="s">
        <v>458</v>
      </c>
      <c r="V496" s="94"/>
    </row>
    <row r="497" spans="19:22">
      <c r="S497" s="152" t="s">
        <v>3445</v>
      </c>
      <c r="T497" s="126">
        <v>1814</v>
      </c>
      <c r="U497" s="95" t="s">
        <v>459</v>
      </c>
      <c r="V497" s="94" t="s">
        <v>1611</v>
      </c>
    </row>
    <row r="498" spans="19:22">
      <c r="S498" s="153" t="s">
        <v>3674</v>
      </c>
      <c r="T498" s="127">
        <v>1820</v>
      </c>
      <c r="U498" s="95" t="s">
        <v>460</v>
      </c>
      <c r="V498" s="94" t="s">
        <v>1613</v>
      </c>
    </row>
    <row r="499" spans="19:22">
      <c r="S499" s="152" t="s">
        <v>2596</v>
      </c>
      <c r="T499" s="126">
        <v>1797</v>
      </c>
      <c r="U499" s="95" t="s">
        <v>461</v>
      </c>
      <c r="V499" s="94" t="s">
        <v>384</v>
      </c>
    </row>
    <row r="500" spans="19:22">
      <c r="S500" s="153" t="s">
        <v>3678</v>
      </c>
      <c r="T500" s="127">
        <v>1797</v>
      </c>
      <c r="U500" s="95" t="s">
        <v>462</v>
      </c>
      <c r="V500" s="94" t="s">
        <v>1616</v>
      </c>
    </row>
    <row r="501" spans="19:22">
      <c r="S501" s="152" t="s">
        <v>3681</v>
      </c>
      <c r="T501" s="126">
        <v>1793</v>
      </c>
      <c r="U501" s="95"/>
      <c r="V501" s="94" t="s">
        <v>1618</v>
      </c>
    </row>
    <row r="502" spans="19:22">
      <c r="S502" s="153" t="s">
        <v>3683</v>
      </c>
      <c r="T502" s="127">
        <v>1819</v>
      </c>
      <c r="U502" s="95" t="s">
        <v>463</v>
      </c>
      <c r="V502" s="94" t="s">
        <v>1620</v>
      </c>
    </row>
    <row r="503" spans="19:22">
      <c r="S503" s="152" t="s">
        <v>3685</v>
      </c>
      <c r="T503" s="126">
        <v>1818</v>
      </c>
      <c r="U503" s="95"/>
      <c r="V503" s="94"/>
    </row>
    <row r="504" spans="19:22">
      <c r="S504" s="153" t="s">
        <v>3687</v>
      </c>
      <c r="T504" s="127">
        <v>1843</v>
      </c>
      <c r="U504" s="95" t="s">
        <v>464</v>
      </c>
      <c r="V504" s="94" t="s">
        <v>1622</v>
      </c>
    </row>
    <row r="505" spans="19:22">
      <c r="S505" s="152" t="s">
        <v>3689</v>
      </c>
      <c r="T505" s="126">
        <v>1850</v>
      </c>
      <c r="U505" s="95"/>
      <c r="V505" s="94" t="s">
        <v>1624</v>
      </c>
    </row>
    <row r="506" spans="19:22">
      <c r="S506" s="153" t="s">
        <v>3691</v>
      </c>
      <c r="T506" s="127">
        <v>1846</v>
      </c>
      <c r="U506" s="95" t="s">
        <v>465</v>
      </c>
      <c r="V506" s="94"/>
    </row>
    <row r="507" spans="19:22">
      <c r="S507" s="152" t="s">
        <v>3693</v>
      </c>
      <c r="T507" s="126">
        <v>1849</v>
      </c>
      <c r="U507" s="95" t="s">
        <v>466</v>
      </c>
      <c r="V507" s="94" t="s">
        <v>1626</v>
      </c>
    </row>
    <row r="508" spans="19:22">
      <c r="S508" s="153" t="s">
        <v>3695</v>
      </c>
      <c r="T508" s="127">
        <v>1828</v>
      </c>
      <c r="U508" s="95" t="s">
        <v>467</v>
      </c>
      <c r="V508" s="94" t="s">
        <v>1628</v>
      </c>
    </row>
    <row r="509" spans="19:22">
      <c r="S509" s="152" t="s">
        <v>3697</v>
      </c>
      <c r="T509" s="126">
        <v>1828</v>
      </c>
      <c r="U509" s="95" t="s">
        <v>468</v>
      </c>
      <c r="V509" s="94" t="s">
        <v>1628</v>
      </c>
    </row>
    <row r="510" spans="19:22">
      <c r="S510" s="153" t="s">
        <v>3699</v>
      </c>
      <c r="T510" s="127">
        <v>1853</v>
      </c>
      <c r="U510" s="95" t="s">
        <v>469</v>
      </c>
      <c r="V510" s="94" t="s">
        <v>1631</v>
      </c>
    </row>
    <row r="511" spans="19:22">
      <c r="S511" s="152" t="s">
        <v>3701</v>
      </c>
      <c r="T511" s="126">
        <v>1834</v>
      </c>
      <c r="U511" s="95" t="s">
        <v>470</v>
      </c>
      <c r="V511" s="94" t="s">
        <v>1633</v>
      </c>
    </row>
    <row r="512" spans="19:22">
      <c r="S512" s="153" t="s">
        <v>3703</v>
      </c>
      <c r="T512" s="127">
        <v>1832</v>
      </c>
      <c r="U512" s="95" t="s">
        <v>471</v>
      </c>
      <c r="V512" s="94" t="s">
        <v>396</v>
      </c>
    </row>
    <row r="513" spans="19:22">
      <c r="S513" s="152" t="s">
        <v>3705</v>
      </c>
      <c r="T513" s="126">
        <v>1801</v>
      </c>
      <c r="U513" s="95" t="s">
        <v>472</v>
      </c>
      <c r="V513" s="94" t="s">
        <v>1636</v>
      </c>
    </row>
    <row r="514" spans="19:22">
      <c r="S514" s="153" t="s">
        <v>3708</v>
      </c>
      <c r="T514" s="127">
        <v>1801</v>
      </c>
      <c r="U514" s="95" t="s">
        <v>473</v>
      </c>
      <c r="V514" s="94" t="s">
        <v>1638</v>
      </c>
    </row>
    <row r="515" spans="19:22">
      <c r="S515" s="152" t="s">
        <v>3711</v>
      </c>
      <c r="T515" s="126">
        <v>1832</v>
      </c>
      <c r="U515" s="95" t="s">
        <v>474</v>
      </c>
      <c r="V515" s="94" t="s">
        <v>1640</v>
      </c>
    </row>
    <row r="516" spans="19:22">
      <c r="S516" s="153" t="s">
        <v>3712</v>
      </c>
      <c r="T516" s="127">
        <v>1835</v>
      </c>
      <c r="U516" s="95" t="s">
        <v>475</v>
      </c>
      <c r="V516" s="94" t="s">
        <v>1642</v>
      </c>
    </row>
    <row r="517" spans="19:22">
      <c r="S517" s="152" t="s">
        <v>3715</v>
      </c>
      <c r="T517" s="126">
        <v>1836</v>
      </c>
      <c r="U517" s="95" t="s">
        <v>476</v>
      </c>
      <c r="V517" s="94" t="s">
        <v>1644</v>
      </c>
    </row>
    <row r="518" spans="19:22">
      <c r="S518" s="153" t="s">
        <v>3717</v>
      </c>
      <c r="T518" s="127">
        <v>1838</v>
      </c>
      <c r="U518" s="95" t="s">
        <v>477</v>
      </c>
      <c r="V518" s="94" t="s">
        <v>1646</v>
      </c>
    </row>
    <row r="519" spans="19:22">
      <c r="S519" s="152" t="s">
        <v>3719</v>
      </c>
      <c r="T519" s="126">
        <v>1840</v>
      </c>
      <c r="U519" s="95"/>
      <c r="V519" s="94" t="s">
        <v>1648</v>
      </c>
    </row>
    <row r="520" spans="19:22">
      <c r="S520" s="153" t="s">
        <v>3720</v>
      </c>
      <c r="T520" s="127">
        <v>1843</v>
      </c>
      <c r="U520" s="95" t="s">
        <v>478</v>
      </c>
      <c r="V520" s="94" t="s">
        <v>1650</v>
      </c>
    </row>
    <row r="521" spans="19:22">
      <c r="S521" s="152" t="s">
        <v>3450</v>
      </c>
      <c r="T521" s="126">
        <v>1817</v>
      </c>
      <c r="U521" s="95"/>
      <c r="V521" s="94" t="s">
        <v>1652</v>
      </c>
    </row>
    <row r="522" spans="19:22">
      <c r="S522" s="153" t="s">
        <v>3722</v>
      </c>
      <c r="T522" s="127">
        <v>1817</v>
      </c>
      <c r="U522" s="95" t="s">
        <v>479</v>
      </c>
      <c r="V522" s="94" t="s">
        <v>1654</v>
      </c>
    </row>
    <row r="523" spans="19:22">
      <c r="S523" s="152" t="s">
        <v>3725</v>
      </c>
      <c r="T523" s="126">
        <v>1778</v>
      </c>
      <c r="U523" s="95"/>
      <c r="V523" s="94" t="s">
        <v>1656</v>
      </c>
    </row>
    <row r="524" spans="19:22">
      <c r="S524" s="153" t="s">
        <v>3727</v>
      </c>
      <c r="T524" s="127">
        <v>1823</v>
      </c>
      <c r="U524" s="95" t="s">
        <v>2418</v>
      </c>
      <c r="V524" s="94" t="s">
        <v>1658</v>
      </c>
    </row>
    <row r="525" spans="19:22">
      <c r="S525" s="152" t="s">
        <v>3729</v>
      </c>
      <c r="T525" s="126">
        <v>1856</v>
      </c>
      <c r="U525" s="95" t="s">
        <v>480</v>
      </c>
      <c r="V525" s="94" t="s">
        <v>1660</v>
      </c>
    </row>
    <row r="526" spans="19:22">
      <c r="S526" s="153" t="s">
        <v>3731</v>
      </c>
      <c r="T526" s="127">
        <v>1857</v>
      </c>
      <c r="U526" s="95" t="s">
        <v>481</v>
      </c>
      <c r="V526" s="94" t="s">
        <v>1662</v>
      </c>
    </row>
    <row r="527" spans="19:22">
      <c r="S527" s="152" t="s">
        <v>3732</v>
      </c>
      <c r="T527" s="126">
        <v>1851</v>
      </c>
      <c r="U527" s="95"/>
      <c r="V527" s="94" t="s">
        <v>1664</v>
      </c>
    </row>
    <row r="528" spans="19:22">
      <c r="S528" s="153" t="s">
        <v>3733</v>
      </c>
      <c r="T528" s="127">
        <v>1821</v>
      </c>
      <c r="U528" s="95" t="s">
        <v>482</v>
      </c>
      <c r="V528" s="94" t="s">
        <v>1666</v>
      </c>
    </row>
    <row r="529" spans="19:22">
      <c r="S529" s="152" t="s">
        <v>3736</v>
      </c>
      <c r="T529" s="126">
        <v>1821</v>
      </c>
      <c r="U529" s="95"/>
      <c r="V529" s="94"/>
    </row>
    <row r="530" spans="19:22">
      <c r="S530" s="153" t="s">
        <v>3739</v>
      </c>
      <c r="T530" s="127">
        <v>1828</v>
      </c>
      <c r="U530" s="95" t="s">
        <v>483</v>
      </c>
      <c r="V530" s="94" t="s">
        <v>1668</v>
      </c>
    </row>
    <row r="531" spans="19:22">
      <c r="S531" s="152" t="s">
        <v>3741</v>
      </c>
      <c r="T531" s="126">
        <v>1847</v>
      </c>
      <c r="U531" s="95" t="s">
        <v>484</v>
      </c>
      <c r="V531" s="94" t="s">
        <v>1670</v>
      </c>
    </row>
    <row r="532" spans="19:22">
      <c r="S532" s="153" t="s">
        <v>3743</v>
      </c>
      <c r="T532" s="127">
        <v>1840</v>
      </c>
      <c r="U532" s="95" t="s">
        <v>485</v>
      </c>
      <c r="V532" s="94" t="s">
        <v>413</v>
      </c>
    </row>
    <row r="533" spans="19:22">
      <c r="S533" s="152" t="s">
        <v>3744</v>
      </c>
      <c r="T533" s="126">
        <v>1804</v>
      </c>
      <c r="U533" s="95"/>
      <c r="V533" s="94" t="s">
        <v>1673</v>
      </c>
    </row>
    <row r="534" spans="19:22">
      <c r="S534" s="153" t="s">
        <v>3004</v>
      </c>
      <c r="T534" s="127">
        <v>1810</v>
      </c>
      <c r="U534" s="95" t="s">
        <v>486</v>
      </c>
      <c r="V534" s="94" t="s">
        <v>414</v>
      </c>
    </row>
    <row r="535" spans="19:22">
      <c r="S535" s="152" t="s">
        <v>3018</v>
      </c>
      <c r="T535" s="126">
        <v>1819</v>
      </c>
      <c r="U535" s="95" t="s">
        <v>487</v>
      </c>
      <c r="V535" s="94" t="s">
        <v>1676</v>
      </c>
    </row>
    <row r="536" spans="19:22">
      <c r="S536" s="153" t="s">
        <v>3748</v>
      </c>
      <c r="T536" s="127">
        <v>1816</v>
      </c>
      <c r="U536" s="95" t="s">
        <v>488</v>
      </c>
      <c r="V536" s="94" t="s">
        <v>1678</v>
      </c>
    </row>
    <row r="537" spans="19:22">
      <c r="S537" s="152" t="s">
        <v>4974</v>
      </c>
      <c r="T537" s="126">
        <v>1830</v>
      </c>
      <c r="U537" s="95" t="s">
        <v>489</v>
      </c>
      <c r="V537" s="94" t="s">
        <v>1680</v>
      </c>
    </row>
    <row r="538" spans="19:22">
      <c r="S538" s="153" t="s">
        <v>4975</v>
      </c>
      <c r="T538" s="127">
        <v>1783</v>
      </c>
      <c r="U538" s="95" t="s">
        <v>490</v>
      </c>
      <c r="V538" s="94" t="s">
        <v>1682</v>
      </c>
    </row>
    <row r="539" spans="19:22">
      <c r="S539" s="152" t="s">
        <v>4972</v>
      </c>
      <c r="T539" s="126">
        <v>1812</v>
      </c>
      <c r="U539" s="95" t="s">
        <v>491</v>
      </c>
      <c r="V539" s="94" t="s">
        <v>1684</v>
      </c>
    </row>
    <row r="540" spans="19:22">
      <c r="S540" s="153" t="s">
        <v>4973</v>
      </c>
      <c r="T540" s="127">
        <v>1816</v>
      </c>
      <c r="U540" s="95" t="s">
        <v>492</v>
      </c>
      <c r="V540" s="94" t="s">
        <v>1686</v>
      </c>
    </row>
    <row r="541" spans="19:22">
      <c r="S541" s="152" t="s">
        <v>4976</v>
      </c>
      <c r="T541" s="126">
        <v>1810</v>
      </c>
      <c r="U541" s="95" t="s">
        <v>493</v>
      </c>
      <c r="V541" s="94" t="s">
        <v>1688</v>
      </c>
    </row>
    <row r="542" spans="19:22">
      <c r="S542" s="153" t="s">
        <v>4977</v>
      </c>
      <c r="T542" s="127">
        <v>1831</v>
      </c>
      <c r="U542" s="95" t="s">
        <v>494</v>
      </c>
      <c r="V542" s="94" t="s">
        <v>1690</v>
      </c>
    </row>
    <row r="543" spans="19:22">
      <c r="S543" s="152" t="s">
        <v>4978</v>
      </c>
      <c r="T543" s="126">
        <v>1824</v>
      </c>
      <c r="U543" s="95" t="s">
        <v>495</v>
      </c>
      <c r="V543" s="94" t="s">
        <v>1692</v>
      </c>
    </row>
    <row r="544" spans="19:22">
      <c r="S544" s="153" t="s">
        <v>4979</v>
      </c>
      <c r="T544" s="127">
        <v>1825</v>
      </c>
      <c r="U544" s="95" t="s">
        <v>496</v>
      </c>
      <c r="V544" s="94" t="s">
        <v>1694</v>
      </c>
    </row>
    <row r="545" spans="19:22">
      <c r="S545" s="152" t="s">
        <v>3459</v>
      </c>
      <c r="T545" s="126"/>
      <c r="U545" s="95" t="s">
        <v>497</v>
      </c>
      <c r="V545" s="94" t="s">
        <v>1696</v>
      </c>
    </row>
    <row r="546" spans="19:22">
      <c r="S546" s="153" t="s">
        <v>3761</v>
      </c>
      <c r="T546" s="127">
        <v>1809</v>
      </c>
      <c r="U546" s="95" t="s">
        <v>498</v>
      </c>
      <c r="V546" s="94" t="s">
        <v>1698</v>
      </c>
    </row>
    <row r="547" spans="19:22">
      <c r="S547" s="152" t="s">
        <v>3462</v>
      </c>
      <c r="T547" s="126">
        <v>1821</v>
      </c>
      <c r="U547" s="95"/>
      <c r="V547" s="94" t="s">
        <v>1700</v>
      </c>
    </row>
    <row r="548" spans="19:22">
      <c r="S548" s="153" t="s">
        <v>3464</v>
      </c>
      <c r="T548" s="127">
        <v>1817</v>
      </c>
      <c r="U548" s="95" t="s">
        <v>499</v>
      </c>
      <c r="V548" s="94"/>
    </row>
    <row r="549" spans="19:22">
      <c r="S549" s="152" t="s">
        <v>3466</v>
      </c>
      <c r="T549" s="126">
        <v>1813</v>
      </c>
      <c r="U549" s="95"/>
      <c r="V549" s="94" t="s">
        <v>1702</v>
      </c>
    </row>
    <row r="550" spans="19:22">
      <c r="S550" s="153" t="s">
        <v>3767</v>
      </c>
      <c r="T550" s="127">
        <v>1789</v>
      </c>
      <c r="U550" s="95" t="s">
        <v>500</v>
      </c>
      <c r="V550" s="94" t="s">
        <v>1704</v>
      </c>
    </row>
    <row r="551" spans="19:22">
      <c r="S551" s="152" t="s">
        <v>3769</v>
      </c>
      <c r="T551" s="126">
        <v>1827</v>
      </c>
      <c r="U551" s="95"/>
      <c r="V551" s="94" t="s">
        <v>1706</v>
      </c>
    </row>
    <row r="552" spans="19:22">
      <c r="S552" s="153" t="s">
        <v>3771</v>
      </c>
      <c r="T552" s="127">
        <v>1806</v>
      </c>
      <c r="U552" s="95" t="s">
        <v>501</v>
      </c>
      <c r="V552" s="94" t="s">
        <v>1708</v>
      </c>
    </row>
    <row r="553" spans="19:22">
      <c r="S553" s="152" t="s">
        <v>3773</v>
      </c>
      <c r="T553" s="126">
        <v>1813</v>
      </c>
      <c r="U553" s="95"/>
      <c r="V553" s="94"/>
    </row>
    <row r="554" spans="19:22">
      <c r="S554" s="153" t="s">
        <v>3775</v>
      </c>
      <c r="T554" s="127">
        <v>1808</v>
      </c>
      <c r="U554" s="95" t="s">
        <v>502</v>
      </c>
      <c r="V554" s="94" t="s">
        <v>1710</v>
      </c>
    </row>
    <row r="555" spans="19:22">
      <c r="S555" s="152" t="s">
        <v>3777</v>
      </c>
      <c r="T555" s="126">
        <v>1828</v>
      </c>
      <c r="U555" s="95"/>
      <c r="V555" s="94" t="s">
        <v>1712</v>
      </c>
    </row>
    <row r="556" spans="19:22">
      <c r="S556" s="153" t="s">
        <v>3779</v>
      </c>
      <c r="T556" s="127">
        <v>1795</v>
      </c>
      <c r="U556" s="95" t="s">
        <v>503</v>
      </c>
      <c r="V556" s="94" t="s">
        <v>1714</v>
      </c>
    </row>
    <row r="557" spans="19:22">
      <c r="S557" s="152" t="s">
        <v>3781</v>
      </c>
      <c r="T557" s="126">
        <v>1824</v>
      </c>
      <c r="U557" s="95" t="s">
        <v>504</v>
      </c>
      <c r="V557" s="94" t="s">
        <v>1716</v>
      </c>
    </row>
    <row r="558" spans="19:22">
      <c r="S558" s="153" t="s">
        <v>3783</v>
      </c>
      <c r="T558" s="127">
        <v>1819</v>
      </c>
      <c r="U558" s="95" t="s">
        <v>505</v>
      </c>
      <c r="V558" s="94"/>
    </row>
    <row r="559" spans="19:22">
      <c r="S559" s="152" t="s">
        <v>3784</v>
      </c>
      <c r="T559" s="126">
        <v>1786</v>
      </c>
      <c r="U559" s="95" t="s">
        <v>506</v>
      </c>
      <c r="V559" s="94" t="s">
        <v>1718</v>
      </c>
    </row>
    <row r="560" spans="19:22">
      <c r="S560" s="153" t="s">
        <v>3786</v>
      </c>
      <c r="T560" s="127">
        <v>1795</v>
      </c>
      <c r="U560" s="95" t="s">
        <v>507</v>
      </c>
      <c r="V560" s="94" t="s">
        <v>1720</v>
      </c>
    </row>
    <row r="561" spans="19:22">
      <c r="S561" s="152" t="s">
        <v>3788</v>
      </c>
      <c r="T561" s="126">
        <v>1818</v>
      </c>
      <c r="U561" s="95" t="s">
        <v>508</v>
      </c>
      <c r="V561" s="94"/>
    </row>
    <row r="562" spans="19:22">
      <c r="S562" s="153" t="s">
        <v>3479</v>
      </c>
      <c r="T562" s="127">
        <v>1801</v>
      </c>
      <c r="U562" s="95"/>
      <c r="V562" s="94" t="s">
        <v>1722</v>
      </c>
    </row>
    <row r="563" spans="19:22">
      <c r="S563" s="152" t="s">
        <v>3791</v>
      </c>
      <c r="T563" s="126">
        <v>1806</v>
      </c>
      <c r="U563" s="95" t="s">
        <v>509</v>
      </c>
      <c r="V563" s="94"/>
    </row>
    <row r="564" spans="19:22">
      <c r="S564" s="153" t="s">
        <v>3793</v>
      </c>
      <c r="T564" s="127">
        <v>1802</v>
      </c>
      <c r="U564" s="95" t="s">
        <v>510</v>
      </c>
      <c r="V564" s="94" t="s">
        <v>1724</v>
      </c>
    </row>
    <row r="565" spans="19:22">
      <c r="S565" s="152" t="s">
        <v>3795</v>
      </c>
      <c r="T565" s="126">
        <v>1804</v>
      </c>
      <c r="U565" s="95"/>
      <c r="V565" s="94" t="s">
        <v>1726</v>
      </c>
    </row>
    <row r="566" spans="19:22">
      <c r="S566" s="153" t="s">
        <v>3797</v>
      </c>
      <c r="T566" s="127">
        <v>1827</v>
      </c>
      <c r="U566" s="95" t="s">
        <v>511</v>
      </c>
      <c r="V566" s="94"/>
    </row>
    <row r="567" spans="19:22">
      <c r="S567" s="152" t="s">
        <v>3799</v>
      </c>
      <c r="T567" s="126">
        <v>1836</v>
      </c>
      <c r="U567" s="95"/>
      <c r="V567" s="94" t="s">
        <v>1728</v>
      </c>
    </row>
    <row r="568" spans="19:22">
      <c r="S568" s="153" t="s">
        <v>3483</v>
      </c>
      <c r="T568" s="127">
        <v>1824</v>
      </c>
      <c r="U568" s="95" t="s">
        <v>512</v>
      </c>
      <c r="V568" s="94"/>
    </row>
    <row r="569" spans="19:22">
      <c r="S569" s="152" t="s">
        <v>3802</v>
      </c>
      <c r="T569" s="126">
        <v>1813</v>
      </c>
      <c r="U569" s="95"/>
      <c r="V569" s="94" t="s">
        <v>1730</v>
      </c>
    </row>
    <row r="570" spans="19:22">
      <c r="S570" s="153" t="s">
        <v>3804</v>
      </c>
      <c r="T570" s="127">
        <v>1839</v>
      </c>
      <c r="U570" s="95" t="s">
        <v>513</v>
      </c>
      <c r="V570" s="94" t="s">
        <v>1732</v>
      </c>
    </row>
    <row r="571" spans="19:22">
      <c r="S571" s="152" t="s">
        <v>2152</v>
      </c>
      <c r="T571" s="126">
        <v>1798</v>
      </c>
      <c r="U571" s="95"/>
      <c r="V571" s="94" t="s">
        <v>1734</v>
      </c>
    </row>
    <row r="572" spans="19:22">
      <c r="S572" s="153" t="s">
        <v>3807</v>
      </c>
      <c r="T572" s="127">
        <v>1805</v>
      </c>
      <c r="U572" s="95" t="s">
        <v>514</v>
      </c>
      <c r="V572" s="94" t="s">
        <v>1736</v>
      </c>
    </row>
    <row r="573" spans="19:22">
      <c r="S573" s="152" t="s">
        <v>3809</v>
      </c>
      <c r="T573" s="126">
        <v>1797</v>
      </c>
      <c r="U573" s="95"/>
      <c r="V573" s="94" t="s">
        <v>1738</v>
      </c>
    </row>
    <row r="574" spans="19:22">
      <c r="S574" s="153" t="s">
        <v>3811</v>
      </c>
      <c r="T574" s="127">
        <v>1799</v>
      </c>
      <c r="U574" s="95" t="s">
        <v>515</v>
      </c>
      <c r="V574" s="94"/>
    </row>
    <row r="575" spans="19:22">
      <c r="S575" s="152" t="s">
        <v>3813</v>
      </c>
      <c r="T575" s="126">
        <v>1831</v>
      </c>
      <c r="U575" s="95"/>
      <c r="V575" s="94" t="s">
        <v>1740</v>
      </c>
    </row>
    <row r="576" spans="19:22">
      <c r="S576" s="153" t="s">
        <v>3491</v>
      </c>
      <c r="T576" s="127">
        <v>1822</v>
      </c>
      <c r="U576" s="95" t="s">
        <v>516</v>
      </c>
      <c r="V576" s="94" t="s">
        <v>1742</v>
      </c>
    </row>
    <row r="577" spans="19:22">
      <c r="S577" s="152" t="s">
        <v>3816</v>
      </c>
      <c r="T577" s="126">
        <v>1825</v>
      </c>
      <c r="U577" s="95" t="s">
        <v>517</v>
      </c>
      <c r="V577" s="94"/>
    </row>
    <row r="578" spans="19:22">
      <c r="S578" s="153" t="s">
        <v>3495</v>
      </c>
      <c r="T578" s="127">
        <v>1809</v>
      </c>
      <c r="U578" s="95" t="s">
        <v>518</v>
      </c>
      <c r="V578" s="94" t="s">
        <v>1744</v>
      </c>
    </row>
    <row r="579" spans="19:22">
      <c r="S579" s="152" t="s">
        <v>3496</v>
      </c>
      <c r="T579" s="126">
        <v>1807</v>
      </c>
      <c r="U579" s="95" t="s">
        <v>519</v>
      </c>
      <c r="V579" s="94" t="s">
        <v>1746</v>
      </c>
    </row>
    <row r="580" spans="19:22">
      <c r="S580" s="153" t="s">
        <v>3820</v>
      </c>
      <c r="T580" s="127">
        <v>1797</v>
      </c>
      <c r="U580" s="95" t="s">
        <v>520</v>
      </c>
      <c r="V580" s="94"/>
    </row>
    <row r="581" spans="19:22">
      <c r="S581" s="152" t="s">
        <v>3822</v>
      </c>
      <c r="T581" s="126">
        <v>1785</v>
      </c>
      <c r="U581" s="95" t="s">
        <v>521</v>
      </c>
      <c r="V581" s="94" t="s">
        <v>1748</v>
      </c>
    </row>
    <row r="582" spans="19:22">
      <c r="S582" s="153" t="s">
        <v>3161</v>
      </c>
      <c r="T582" s="127">
        <v>1832</v>
      </c>
      <c r="U582" s="95" t="s">
        <v>522</v>
      </c>
      <c r="V582" s="94" t="s">
        <v>1750</v>
      </c>
    </row>
    <row r="583" spans="19:22">
      <c r="S583" s="152" t="s">
        <v>3825</v>
      </c>
      <c r="T583" s="126">
        <v>1835</v>
      </c>
      <c r="U583" s="95" t="s">
        <v>523</v>
      </c>
      <c r="V583" s="94" t="s">
        <v>1752</v>
      </c>
    </row>
    <row r="584" spans="19:22">
      <c r="S584" s="153" t="s">
        <v>3502</v>
      </c>
      <c r="T584" s="127">
        <v>1830</v>
      </c>
      <c r="U584" s="95" t="s">
        <v>524</v>
      </c>
      <c r="V584" s="94" t="s">
        <v>1754</v>
      </c>
    </row>
    <row r="585" spans="19:22">
      <c r="S585" s="152" t="s">
        <v>3828</v>
      </c>
      <c r="T585" s="126">
        <v>1800</v>
      </c>
      <c r="U585" s="95" t="s">
        <v>525</v>
      </c>
      <c r="V585" s="94"/>
    </row>
    <row r="586" spans="19:22">
      <c r="S586" s="153" t="s">
        <v>3830</v>
      </c>
      <c r="T586" s="127">
        <v>1805</v>
      </c>
      <c r="U586" s="95" t="s">
        <v>526</v>
      </c>
      <c r="V586" s="94" t="s">
        <v>1756</v>
      </c>
    </row>
    <row r="587" spans="19:22">
      <c r="S587" s="152" t="s">
        <v>3832</v>
      </c>
      <c r="T587" s="126"/>
      <c r="U587" s="95" t="s">
        <v>527</v>
      </c>
      <c r="V587" s="94"/>
    </row>
    <row r="588" spans="19:22">
      <c r="S588" s="153" t="s">
        <v>3176</v>
      </c>
      <c r="T588" s="127">
        <v>1831</v>
      </c>
      <c r="U588" s="95" t="s">
        <v>528</v>
      </c>
      <c r="V588" s="94" t="s">
        <v>1758</v>
      </c>
    </row>
    <row r="589" spans="19:22">
      <c r="S589" s="152" t="s">
        <v>3504</v>
      </c>
      <c r="T589" s="126">
        <v>1805</v>
      </c>
      <c r="U589" s="95" t="s">
        <v>529</v>
      </c>
      <c r="V589" s="94"/>
    </row>
    <row r="590" spans="19:22">
      <c r="S590" s="153" t="s">
        <v>3836</v>
      </c>
      <c r="T590" s="127">
        <v>1803</v>
      </c>
      <c r="U590" s="95" t="s">
        <v>530</v>
      </c>
      <c r="V590" s="94" t="s">
        <v>1760</v>
      </c>
    </row>
    <row r="591" spans="19:22">
      <c r="S591" s="152" t="s">
        <v>3838</v>
      </c>
      <c r="T591" s="126">
        <v>1823</v>
      </c>
      <c r="U591" s="95" t="s">
        <v>531</v>
      </c>
      <c r="V591" s="94"/>
    </row>
    <row r="592" spans="19:22">
      <c r="S592" s="153" t="s">
        <v>3840</v>
      </c>
      <c r="T592" s="127">
        <v>1808</v>
      </c>
      <c r="U592" s="95" t="s">
        <v>532</v>
      </c>
      <c r="V592" s="94" t="s">
        <v>5012</v>
      </c>
    </row>
    <row r="593" spans="19:22">
      <c r="S593" s="152" t="s">
        <v>3842</v>
      </c>
      <c r="T593" s="126">
        <v>1839</v>
      </c>
      <c r="U593" s="95" t="s">
        <v>533</v>
      </c>
      <c r="V593" s="94" t="s">
        <v>5013</v>
      </c>
    </row>
    <row r="594" spans="19:22">
      <c r="S594" s="153" t="s">
        <v>3844</v>
      </c>
      <c r="T594" s="127">
        <v>1802</v>
      </c>
      <c r="U594" s="95" t="s">
        <v>534</v>
      </c>
      <c r="V594" s="94" t="s">
        <v>5014</v>
      </c>
    </row>
    <row r="595" spans="19:22">
      <c r="S595" s="152" t="s">
        <v>5112</v>
      </c>
      <c r="T595" s="126">
        <v>1835</v>
      </c>
      <c r="U595" s="95" t="s">
        <v>535</v>
      </c>
      <c r="V595" s="94" t="s">
        <v>5014</v>
      </c>
    </row>
    <row r="596" spans="19:22">
      <c r="S596" s="153" t="s">
        <v>5113</v>
      </c>
      <c r="T596" s="127">
        <v>1818</v>
      </c>
      <c r="U596" s="95" t="s">
        <v>536</v>
      </c>
      <c r="V596" s="94" t="s">
        <v>5015</v>
      </c>
    </row>
    <row r="597" spans="19:22">
      <c r="S597" s="152" t="s">
        <v>5114</v>
      </c>
      <c r="T597" s="126">
        <v>1821</v>
      </c>
      <c r="U597" s="95" t="s">
        <v>537</v>
      </c>
      <c r="V597" s="94" t="s">
        <v>5016</v>
      </c>
    </row>
    <row r="598" spans="19:22">
      <c r="S598" s="153" t="s">
        <v>5115</v>
      </c>
      <c r="T598" s="127">
        <v>1812</v>
      </c>
      <c r="U598" s="95" t="s">
        <v>538</v>
      </c>
      <c r="V598" s="94" t="s">
        <v>5017</v>
      </c>
    </row>
    <row r="599" spans="19:22">
      <c r="S599" s="152" t="s">
        <v>5116</v>
      </c>
      <c r="T599" s="126">
        <v>1819</v>
      </c>
      <c r="U599" s="95" t="s">
        <v>539</v>
      </c>
      <c r="V599" s="94" t="s">
        <v>5018</v>
      </c>
    </row>
    <row r="600" spans="19:22">
      <c r="S600" s="153" t="s">
        <v>5117</v>
      </c>
      <c r="T600" s="127">
        <v>1820</v>
      </c>
      <c r="U600" s="95" t="s">
        <v>540</v>
      </c>
      <c r="V600" s="94" t="s">
        <v>4963</v>
      </c>
    </row>
    <row r="601" spans="19:22">
      <c r="S601" s="152" t="s">
        <v>5118</v>
      </c>
      <c r="T601" s="126">
        <v>1805</v>
      </c>
      <c r="U601" s="95" t="s">
        <v>541</v>
      </c>
      <c r="V601" s="94" t="s">
        <v>4909</v>
      </c>
    </row>
    <row r="602" spans="19:22">
      <c r="S602" s="153" t="s">
        <v>5119</v>
      </c>
      <c r="T602" s="127">
        <v>1828</v>
      </c>
      <c r="U602" s="95" t="s">
        <v>542</v>
      </c>
      <c r="V602" s="94" t="s">
        <v>5019</v>
      </c>
    </row>
    <row r="603" spans="19:22">
      <c r="S603" s="152" t="s">
        <v>5120</v>
      </c>
      <c r="T603" s="126">
        <v>1825</v>
      </c>
      <c r="U603" s="95" t="s">
        <v>543</v>
      </c>
      <c r="V603" s="94" t="s">
        <v>4927</v>
      </c>
    </row>
    <row r="604" spans="19:22">
      <c r="S604" s="153" t="s">
        <v>3855</v>
      </c>
      <c r="T604" s="127">
        <v>1782</v>
      </c>
      <c r="U604" s="95" t="s">
        <v>544</v>
      </c>
      <c r="V604" s="94" t="s">
        <v>5020</v>
      </c>
    </row>
    <row r="605" spans="19:22">
      <c r="S605" s="152" t="s">
        <v>3857</v>
      </c>
      <c r="T605" s="126">
        <v>1791</v>
      </c>
      <c r="U605" s="95" t="s">
        <v>545</v>
      </c>
      <c r="V605" s="94" t="s">
        <v>5021</v>
      </c>
    </row>
    <row r="606" spans="19:22">
      <c r="S606" s="153" t="s">
        <v>4627</v>
      </c>
      <c r="T606" s="127">
        <v>1812</v>
      </c>
      <c r="U606" s="95" t="s">
        <v>546</v>
      </c>
      <c r="V606" s="94" t="s">
        <v>5022</v>
      </c>
    </row>
    <row r="607" spans="19:22">
      <c r="S607" s="152" t="s">
        <v>4623</v>
      </c>
      <c r="T607" s="126">
        <v>1815</v>
      </c>
      <c r="U607" s="95" t="s">
        <v>547</v>
      </c>
      <c r="V607" s="94" t="s">
        <v>5023</v>
      </c>
    </row>
    <row r="608" spans="19:22">
      <c r="S608" s="153" t="s">
        <v>4624</v>
      </c>
      <c r="T608" s="127">
        <v>1803</v>
      </c>
      <c r="U608" s="95" t="s">
        <v>548</v>
      </c>
      <c r="V608" s="94" t="s">
        <v>5024</v>
      </c>
    </row>
    <row r="609" spans="19:22">
      <c r="S609" s="152" t="s">
        <v>4628</v>
      </c>
      <c r="T609" s="126">
        <v>1818</v>
      </c>
      <c r="U609" s="95" t="s">
        <v>549</v>
      </c>
      <c r="V609" s="94" t="s">
        <v>5025</v>
      </c>
    </row>
    <row r="610" spans="19:22">
      <c r="S610" s="153" t="s">
        <v>4629</v>
      </c>
      <c r="T610" s="127">
        <v>1832</v>
      </c>
      <c r="U610" s="95" t="s">
        <v>550</v>
      </c>
      <c r="V610" s="94" t="s">
        <v>5026</v>
      </c>
    </row>
    <row r="611" spans="19:22">
      <c r="S611" s="152" t="s">
        <v>4630</v>
      </c>
      <c r="T611" s="126">
        <v>1805</v>
      </c>
      <c r="U611" s="95" t="s">
        <v>551</v>
      </c>
      <c r="V611" s="94" t="s">
        <v>5027</v>
      </c>
    </row>
    <row r="612" spans="19:22">
      <c r="S612" s="153" t="s">
        <v>4631</v>
      </c>
      <c r="T612" s="127">
        <v>1800</v>
      </c>
      <c r="U612" s="95"/>
      <c r="V612" s="94" t="s">
        <v>5028</v>
      </c>
    </row>
    <row r="613" spans="19:22">
      <c r="S613" s="152" t="s">
        <v>4522</v>
      </c>
      <c r="T613" s="126">
        <v>1831</v>
      </c>
      <c r="U613" s="95" t="s">
        <v>552</v>
      </c>
      <c r="V613" s="94" t="s">
        <v>5029</v>
      </c>
    </row>
    <row r="614" spans="19:22">
      <c r="S614" s="153" t="s">
        <v>4621</v>
      </c>
      <c r="T614" s="127">
        <v>1831</v>
      </c>
      <c r="U614" s="95" t="s">
        <v>553</v>
      </c>
      <c r="V614" s="94" t="s">
        <v>5030</v>
      </c>
    </row>
    <row r="615" spans="19:22">
      <c r="S615" s="152" t="s">
        <v>3868</v>
      </c>
      <c r="T615" s="126">
        <v>1798</v>
      </c>
      <c r="U615" s="95" t="s">
        <v>554</v>
      </c>
      <c r="V615" s="94" t="s">
        <v>4942</v>
      </c>
    </row>
    <row r="616" spans="19:22">
      <c r="S616" s="153" t="s">
        <v>3870</v>
      </c>
      <c r="T616" s="127">
        <v>1842</v>
      </c>
      <c r="U616" s="95" t="s">
        <v>555</v>
      </c>
      <c r="V616" s="94" t="s">
        <v>5031</v>
      </c>
    </row>
    <row r="617" spans="19:22">
      <c r="S617" s="152" t="s">
        <v>3522</v>
      </c>
      <c r="T617" s="126">
        <v>1832</v>
      </c>
      <c r="U617" s="95"/>
      <c r="V617" s="94" t="s">
        <v>5032</v>
      </c>
    </row>
    <row r="618" spans="19:22">
      <c r="S618" s="153" t="s">
        <v>3873</v>
      </c>
      <c r="T618" s="127">
        <v>1813</v>
      </c>
      <c r="U618" s="95" t="s">
        <v>556</v>
      </c>
      <c r="V618" s="94" t="s">
        <v>4911</v>
      </c>
    </row>
    <row r="619" spans="19:22">
      <c r="S619" s="152" t="s">
        <v>3526</v>
      </c>
      <c r="T619" s="126">
        <v>1805</v>
      </c>
      <c r="U619" s="95" t="s">
        <v>557</v>
      </c>
      <c r="V619" s="94" t="s">
        <v>5033</v>
      </c>
    </row>
    <row r="620" spans="19:22">
      <c r="S620" s="153" t="s">
        <v>3527</v>
      </c>
      <c r="T620" s="127">
        <v>1845</v>
      </c>
      <c r="U620" s="95"/>
      <c r="V620" s="94" t="s">
        <v>5034</v>
      </c>
    </row>
    <row r="621" spans="19:22">
      <c r="U621" s="95" t="s">
        <v>558</v>
      </c>
      <c r="V621" s="94" t="s">
        <v>5035</v>
      </c>
    </row>
    <row r="622" spans="19:22">
      <c r="U622" s="95"/>
      <c r="V622" s="94" t="s">
        <v>5002</v>
      </c>
    </row>
    <row r="623" spans="19:22">
      <c r="U623" s="95" t="s">
        <v>559</v>
      </c>
      <c r="V623" s="94" t="s">
        <v>4913</v>
      </c>
    </row>
    <row r="624" spans="19:22">
      <c r="U624" s="95" t="s">
        <v>560</v>
      </c>
      <c r="V624" s="94" t="s">
        <v>5036</v>
      </c>
    </row>
    <row r="625" spans="21:22">
      <c r="U625" s="95" t="s">
        <v>561</v>
      </c>
      <c r="V625" s="94" t="s">
        <v>5037</v>
      </c>
    </row>
    <row r="626" spans="21:22">
      <c r="U626" s="95"/>
      <c r="V626" s="94" t="s">
        <v>5038</v>
      </c>
    </row>
    <row r="627" spans="21:22">
      <c r="U627" s="95" t="s">
        <v>562</v>
      </c>
      <c r="V627" s="94" t="s">
        <v>5039</v>
      </c>
    </row>
    <row r="628" spans="21:22">
      <c r="U628" s="95"/>
      <c r="V628" s="94" t="s">
        <v>4938</v>
      </c>
    </row>
    <row r="629" spans="21:22">
      <c r="U629" s="95" t="s">
        <v>563</v>
      </c>
      <c r="V629" s="94" t="s">
        <v>5040</v>
      </c>
    </row>
    <row r="630" spans="21:22">
      <c r="U630" s="95"/>
      <c r="V630" s="94" t="s">
        <v>5041</v>
      </c>
    </row>
    <row r="631" spans="21:22">
      <c r="U631" s="95" t="s">
        <v>564</v>
      </c>
      <c r="V631" s="94" t="s">
        <v>5042</v>
      </c>
    </row>
    <row r="632" spans="21:22">
      <c r="U632" s="95"/>
      <c r="V632" s="94" t="s">
        <v>5043</v>
      </c>
    </row>
    <row r="633" spans="21:22">
      <c r="U633" s="95" t="s">
        <v>565</v>
      </c>
      <c r="V633" s="94"/>
    </row>
    <row r="634" spans="21:22">
      <c r="U634" s="95"/>
      <c r="V634" s="94" t="s">
        <v>5044</v>
      </c>
    </row>
    <row r="635" spans="21:22">
      <c r="U635" s="95" t="s">
        <v>566</v>
      </c>
      <c r="V635" s="94" t="s">
        <v>5045</v>
      </c>
    </row>
    <row r="636" spans="21:22">
      <c r="U636" s="95"/>
      <c r="V636" s="94" t="s">
        <v>5046</v>
      </c>
    </row>
    <row r="637" spans="21:22">
      <c r="U637" s="95" t="s">
        <v>5121</v>
      </c>
      <c r="V637" s="94" t="s">
        <v>5047</v>
      </c>
    </row>
    <row r="638" spans="21:22">
      <c r="U638" s="95" t="s">
        <v>5122</v>
      </c>
      <c r="V638" s="94" t="s">
        <v>5048</v>
      </c>
    </row>
    <row r="639" spans="21:22">
      <c r="U639" s="95" t="s">
        <v>5123</v>
      </c>
      <c r="V639" s="94" t="s">
        <v>5049</v>
      </c>
    </row>
    <row r="640" spans="21:22">
      <c r="U640" s="95" t="s">
        <v>5124</v>
      </c>
      <c r="V640" s="94" t="s">
        <v>5050</v>
      </c>
    </row>
    <row r="641" spans="21:22">
      <c r="U641" s="95" t="s">
        <v>5125</v>
      </c>
      <c r="V641" s="94" t="s">
        <v>4905</v>
      </c>
    </row>
    <row r="642" spans="21:22">
      <c r="U642" s="95" t="s">
        <v>5126</v>
      </c>
      <c r="V642" s="94" t="s">
        <v>5051</v>
      </c>
    </row>
    <row r="643" spans="21:22">
      <c r="U643" s="95" t="s">
        <v>5127</v>
      </c>
      <c r="V643" s="94" t="s">
        <v>5052</v>
      </c>
    </row>
    <row r="644" spans="21:22">
      <c r="U644" s="95" t="s">
        <v>5128</v>
      </c>
      <c r="V644" s="94" t="s">
        <v>5053</v>
      </c>
    </row>
    <row r="645" spans="21:22">
      <c r="U645" s="95" t="s">
        <v>5129</v>
      </c>
      <c r="V645" s="94" t="s">
        <v>5054</v>
      </c>
    </row>
    <row r="646" spans="21:22">
      <c r="U646" s="95" t="s">
        <v>5130</v>
      </c>
      <c r="V646" s="94" t="s">
        <v>5055</v>
      </c>
    </row>
    <row r="647" spans="21:22">
      <c r="U647" s="95" t="s">
        <v>5131</v>
      </c>
      <c r="V647" s="94" t="s">
        <v>5056</v>
      </c>
    </row>
    <row r="648" spans="21:22">
      <c r="U648" s="95" t="s">
        <v>5132</v>
      </c>
      <c r="V648" s="94" t="s">
        <v>5057</v>
      </c>
    </row>
    <row r="649" spans="21:22">
      <c r="U649" s="95" t="s">
        <v>5133</v>
      </c>
      <c r="V649" s="94" t="s">
        <v>5058</v>
      </c>
    </row>
    <row r="650" spans="21:22">
      <c r="U650" s="95" t="s">
        <v>5134</v>
      </c>
      <c r="V650" s="94" t="s">
        <v>4914</v>
      </c>
    </row>
    <row r="651" spans="21:22">
      <c r="U651" s="95" t="s">
        <v>5096</v>
      </c>
      <c r="V651" s="94" t="s">
        <v>5059</v>
      </c>
    </row>
    <row r="652" spans="21:22">
      <c r="U652" s="95" t="s">
        <v>5135</v>
      </c>
      <c r="V652" s="94" t="s">
        <v>5060</v>
      </c>
    </row>
    <row r="653" spans="21:22">
      <c r="U653" s="95" t="s">
        <v>5136</v>
      </c>
      <c r="V653" s="94" t="s">
        <v>5061</v>
      </c>
    </row>
    <row r="654" spans="21:22">
      <c r="U654" s="95" t="s">
        <v>5137</v>
      </c>
      <c r="V654" s="94" t="s">
        <v>4897</v>
      </c>
    </row>
    <row r="655" spans="21:22">
      <c r="U655" s="95" t="s">
        <v>5138</v>
      </c>
      <c r="V655" s="94" t="s">
        <v>5062</v>
      </c>
    </row>
    <row r="656" spans="21:22">
      <c r="U656" s="95" t="s">
        <v>5139</v>
      </c>
      <c r="V656" s="94" t="s">
        <v>5063</v>
      </c>
    </row>
    <row r="657" spans="21:22">
      <c r="U657" s="95" t="s">
        <v>5140</v>
      </c>
      <c r="V657" s="94" t="s">
        <v>5064</v>
      </c>
    </row>
    <row r="658" spans="21:22">
      <c r="U658" s="95" t="s">
        <v>5141</v>
      </c>
      <c r="V658" s="94" t="s">
        <v>5065</v>
      </c>
    </row>
    <row r="659" spans="21:22">
      <c r="U659" s="95" t="s">
        <v>5142</v>
      </c>
      <c r="V659" s="94" t="s">
        <v>5065</v>
      </c>
    </row>
    <row r="660" spans="21:22">
      <c r="U660" s="95" t="s">
        <v>5143</v>
      </c>
      <c r="V660" s="94" t="s">
        <v>5066</v>
      </c>
    </row>
    <row r="661" spans="21:22">
      <c r="U661" s="95" t="s">
        <v>5144</v>
      </c>
      <c r="V661" s="94" t="s">
        <v>5067</v>
      </c>
    </row>
    <row r="662" spans="21:22">
      <c r="U662" s="95" t="s">
        <v>5145</v>
      </c>
      <c r="V662" s="94" t="s">
        <v>5068</v>
      </c>
    </row>
    <row r="663" spans="21:22">
      <c r="U663" s="95" t="s">
        <v>5146</v>
      </c>
      <c r="V663" s="94" t="s">
        <v>5069</v>
      </c>
    </row>
    <row r="664" spans="21:22">
      <c r="U664" s="95" t="s">
        <v>5146</v>
      </c>
      <c r="V664" s="94" t="s">
        <v>5070</v>
      </c>
    </row>
    <row r="665" spans="21:22">
      <c r="U665" s="95" t="s">
        <v>5147</v>
      </c>
      <c r="V665" s="94" t="s">
        <v>5071</v>
      </c>
    </row>
    <row r="666" spans="21:22">
      <c r="U666" s="95" t="s">
        <v>5148</v>
      </c>
      <c r="V666" s="94" t="s">
        <v>5072</v>
      </c>
    </row>
    <row r="667" spans="21:22">
      <c r="U667" s="95" t="s">
        <v>5149</v>
      </c>
      <c r="V667" s="94" t="s">
        <v>4908</v>
      </c>
    </row>
    <row r="668" spans="21:22">
      <c r="U668" s="95" t="s">
        <v>567</v>
      </c>
      <c r="V668" s="94"/>
    </row>
    <row r="669" spans="21:22">
      <c r="U669" s="95" t="s">
        <v>5150</v>
      </c>
      <c r="V669" s="94" t="s">
        <v>1837</v>
      </c>
    </row>
    <row r="670" spans="21:22">
      <c r="U670" s="95" t="s">
        <v>5151</v>
      </c>
      <c r="V670" s="94"/>
    </row>
    <row r="671" spans="21:22">
      <c r="U671" s="95" t="s">
        <v>5152</v>
      </c>
      <c r="V671" s="94" t="s">
        <v>32</v>
      </c>
    </row>
    <row r="672" spans="21:22">
      <c r="U672" s="95" t="s">
        <v>5153</v>
      </c>
      <c r="V672" s="94"/>
    </row>
    <row r="673" spans="21:22">
      <c r="U673" s="95" t="s">
        <v>5154</v>
      </c>
      <c r="V673" s="94" t="s">
        <v>1840</v>
      </c>
    </row>
    <row r="674" spans="21:22">
      <c r="U674" s="95" t="s">
        <v>5155</v>
      </c>
      <c r="V674" s="94"/>
    </row>
    <row r="675" spans="21:22">
      <c r="U675" s="95" t="s">
        <v>5156</v>
      </c>
      <c r="V675" s="94" t="s">
        <v>443</v>
      </c>
    </row>
    <row r="676" spans="21:22">
      <c r="U676" s="95" t="s">
        <v>5157</v>
      </c>
      <c r="V676" s="94" t="s">
        <v>1843</v>
      </c>
    </row>
    <row r="677" spans="21:22">
      <c r="U677" s="95" t="s">
        <v>5158</v>
      </c>
      <c r="V677" s="94" t="s">
        <v>1845</v>
      </c>
    </row>
    <row r="678" spans="21:22">
      <c r="U678" s="95" t="s">
        <v>5159</v>
      </c>
      <c r="V678" s="94"/>
    </row>
    <row r="679" spans="21:22">
      <c r="U679" s="95"/>
      <c r="V679" s="94" t="s">
        <v>1847</v>
      </c>
    </row>
    <row r="680" spans="21:22">
      <c r="U680" s="95" t="s">
        <v>5160</v>
      </c>
      <c r="V680" s="94" t="s">
        <v>1849</v>
      </c>
    </row>
    <row r="681" spans="21:22">
      <c r="U681" s="95" t="s">
        <v>5161</v>
      </c>
      <c r="V681" s="94"/>
    </row>
    <row r="682" spans="21:22">
      <c r="U682" s="95" t="s">
        <v>5162</v>
      </c>
      <c r="V682" s="94" t="s">
        <v>1851</v>
      </c>
    </row>
    <row r="683" spans="21:22">
      <c r="U683" s="95" t="s">
        <v>5163</v>
      </c>
      <c r="V683" s="94" t="s">
        <v>1853</v>
      </c>
    </row>
    <row r="684" spans="21:22">
      <c r="U684" s="95" t="s">
        <v>5164</v>
      </c>
      <c r="V684" s="94" t="s">
        <v>450</v>
      </c>
    </row>
    <row r="685" spans="21:22">
      <c r="U685" s="95" t="s">
        <v>5165</v>
      </c>
      <c r="V685" s="94" t="s">
        <v>1856</v>
      </c>
    </row>
    <row r="686" spans="21:22">
      <c r="U686" s="95"/>
      <c r="V686" s="94" t="s">
        <v>1858</v>
      </c>
    </row>
    <row r="687" spans="21:22">
      <c r="U687" s="95" t="s">
        <v>568</v>
      </c>
      <c r="V687" s="94" t="s">
        <v>1860</v>
      </c>
    </row>
    <row r="688" spans="21:22">
      <c r="U688" s="95"/>
      <c r="V688" s="94"/>
    </row>
    <row r="689" spans="21:22">
      <c r="U689" s="95" t="s">
        <v>569</v>
      </c>
      <c r="V689" s="94" t="s">
        <v>1862</v>
      </c>
    </row>
    <row r="690" spans="21:22">
      <c r="U690" s="95" t="s">
        <v>570</v>
      </c>
      <c r="V690" s="94" t="s">
        <v>1864</v>
      </c>
    </row>
    <row r="691" spans="21:22">
      <c r="U691" s="95" t="s">
        <v>571</v>
      </c>
      <c r="V691" s="94" t="s">
        <v>1866</v>
      </c>
    </row>
    <row r="692" spans="21:22">
      <c r="U692" s="95"/>
      <c r="V692" s="94"/>
    </row>
    <row r="693" spans="21:22">
      <c r="U693" s="95" t="s">
        <v>572</v>
      </c>
      <c r="V693" s="94" t="s">
        <v>38</v>
      </c>
    </row>
    <row r="694" spans="21:22">
      <c r="U694" s="95" t="s">
        <v>573</v>
      </c>
      <c r="V694" s="94" t="s">
        <v>1869</v>
      </c>
    </row>
    <row r="695" spans="21:22">
      <c r="U695" s="95" t="s">
        <v>574</v>
      </c>
      <c r="V695" s="94" t="s">
        <v>1869</v>
      </c>
    </row>
    <row r="696" spans="21:22">
      <c r="U696" s="95" t="s">
        <v>575</v>
      </c>
      <c r="V696" s="94" t="s">
        <v>1872</v>
      </c>
    </row>
    <row r="697" spans="21:22">
      <c r="U697" s="95" t="s">
        <v>576</v>
      </c>
      <c r="V697" s="94" t="s">
        <v>1874</v>
      </c>
    </row>
    <row r="698" spans="21:22">
      <c r="U698" s="95"/>
      <c r="V698" s="94" t="s">
        <v>1876</v>
      </c>
    </row>
    <row r="699" spans="21:22">
      <c r="U699" s="95" t="s">
        <v>577</v>
      </c>
      <c r="V699" s="94" t="s">
        <v>1878</v>
      </c>
    </row>
    <row r="700" spans="21:22">
      <c r="U700" s="95" t="s">
        <v>578</v>
      </c>
      <c r="V700" s="94" t="s">
        <v>1880</v>
      </c>
    </row>
    <row r="701" spans="21:22">
      <c r="U701" s="95" t="s">
        <v>579</v>
      </c>
      <c r="V701" s="94" t="s">
        <v>1882</v>
      </c>
    </row>
    <row r="702" spans="21:22">
      <c r="U702" s="95"/>
      <c r="V702" s="94" t="s">
        <v>1884</v>
      </c>
    </row>
    <row r="703" spans="21:22">
      <c r="U703" s="95" t="s">
        <v>4576</v>
      </c>
      <c r="V703" s="94" t="s">
        <v>1886</v>
      </c>
    </row>
    <row r="704" spans="21:22">
      <c r="U704" s="199" t="s">
        <v>4634</v>
      </c>
      <c r="V704" s="94" t="s">
        <v>1888</v>
      </c>
    </row>
    <row r="705" spans="21:22">
      <c r="U705" s="199" t="s">
        <v>4635</v>
      </c>
      <c r="V705" s="94" t="s">
        <v>1890</v>
      </c>
    </row>
    <row r="706" spans="21:22">
      <c r="U706" s="199" t="s">
        <v>4636</v>
      </c>
      <c r="V706" s="94" t="s">
        <v>1892</v>
      </c>
    </row>
    <row r="707" spans="21:22">
      <c r="U707" s="95" t="s">
        <v>4537</v>
      </c>
      <c r="V707" s="94"/>
    </row>
    <row r="708" spans="21:22">
      <c r="U708" s="95" t="s">
        <v>4559</v>
      </c>
      <c r="V708" s="94" t="s">
        <v>1894</v>
      </c>
    </row>
    <row r="709" spans="21:22">
      <c r="U709" s="199" t="s">
        <v>4584</v>
      </c>
      <c r="V709" s="94" t="s">
        <v>1896</v>
      </c>
    </row>
    <row r="710" spans="21:22">
      <c r="U710" s="199" t="s">
        <v>4599</v>
      </c>
      <c r="V710" s="94" t="s">
        <v>1898</v>
      </c>
    </row>
    <row r="711" spans="21:22">
      <c r="U711" s="199" t="s">
        <v>4588</v>
      </c>
      <c r="V711" s="94" t="s">
        <v>1900</v>
      </c>
    </row>
    <row r="712" spans="21:22">
      <c r="U712" s="199" t="s">
        <v>4637</v>
      </c>
      <c r="V712" s="94" t="s">
        <v>1902</v>
      </c>
    </row>
    <row r="713" spans="21:22">
      <c r="U713" s="199" t="s">
        <v>4638</v>
      </c>
      <c r="V713" s="94" t="s">
        <v>1904</v>
      </c>
    </row>
    <row r="714" spans="21:22">
      <c r="U714" s="95" t="s">
        <v>4600</v>
      </c>
      <c r="V714" s="94" t="s">
        <v>1906</v>
      </c>
    </row>
    <row r="715" spans="21:22">
      <c r="U715" s="199" t="s">
        <v>4639</v>
      </c>
      <c r="V715" s="94" t="s">
        <v>1908</v>
      </c>
    </row>
    <row r="716" spans="21:22">
      <c r="U716" s="199" t="s">
        <v>4640</v>
      </c>
      <c r="V716" s="94" t="s">
        <v>1910</v>
      </c>
    </row>
    <row r="717" spans="21:22">
      <c r="U717" s="199" t="s">
        <v>4641</v>
      </c>
      <c r="V717" s="94" t="s">
        <v>1912</v>
      </c>
    </row>
    <row r="718" spans="21:22">
      <c r="U718" s="199" t="s">
        <v>4642</v>
      </c>
      <c r="V718" s="94" t="s">
        <v>1914</v>
      </c>
    </row>
    <row r="719" spans="21:22">
      <c r="U719" s="199" t="s">
        <v>4643</v>
      </c>
      <c r="V719" s="94" t="s">
        <v>1916</v>
      </c>
    </row>
    <row r="720" spans="21:22">
      <c r="U720" s="199" t="s">
        <v>4644</v>
      </c>
      <c r="V720" s="94" t="s">
        <v>1918</v>
      </c>
    </row>
    <row r="721" spans="21:22">
      <c r="U721" s="199" t="s">
        <v>4645</v>
      </c>
      <c r="V721" s="94" t="s">
        <v>1920</v>
      </c>
    </row>
    <row r="722" spans="21:22">
      <c r="U722" s="199" t="s">
        <v>4646</v>
      </c>
      <c r="V722" s="94"/>
    </row>
    <row r="723" spans="21:22">
      <c r="U723" s="95" t="s">
        <v>4533</v>
      </c>
      <c r="V723" s="94" t="s">
        <v>1922</v>
      </c>
    </row>
    <row r="724" spans="21:22">
      <c r="U724" s="95" t="s">
        <v>4647</v>
      </c>
      <c r="V724" s="94" t="s">
        <v>1924</v>
      </c>
    </row>
    <row r="725" spans="21:22">
      <c r="U725" s="95" t="s">
        <v>4557</v>
      </c>
      <c r="V725" s="94" t="s">
        <v>1926</v>
      </c>
    </row>
    <row r="726" spans="21:22">
      <c r="U726" s="95"/>
      <c r="V726" s="94" t="s">
        <v>1928</v>
      </c>
    </row>
    <row r="727" spans="21:22">
      <c r="U727" s="95" t="s">
        <v>4648</v>
      </c>
      <c r="V727" s="94" t="s">
        <v>1930</v>
      </c>
    </row>
    <row r="728" spans="21:22">
      <c r="U728" s="95" t="s">
        <v>4649</v>
      </c>
      <c r="V728" s="94" t="s">
        <v>1932</v>
      </c>
    </row>
    <row r="729" spans="21:22">
      <c r="U729" s="199" t="s">
        <v>4650</v>
      </c>
      <c r="V729" s="94" t="s">
        <v>1934</v>
      </c>
    </row>
    <row r="730" spans="21:22">
      <c r="U730" s="95" t="s">
        <v>4651</v>
      </c>
      <c r="V730" s="94" t="s">
        <v>1936</v>
      </c>
    </row>
    <row r="731" spans="21:22">
      <c r="U731" s="95" t="s">
        <v>4652</v>
      </c>
      <c r="V731" s="94" t="s">
        <v>1938</v>
      </c>
    </row>
    <row r="732" spans="21:22">
      <c r="U732" s="95"/>
      <c r="V732" s="94" t="s">
        <v>1940</v>
      </c>
    </row>
    <row r="733" spans="21:22">
      <c r="U733" s="95" t="s">
        <v>582</v>
      </c>
      <c r="V733" s="94" t="s">
        <v>1942</v>
      </c>
    </row>
    <row r="734" spans="21:22">
      <c r="U734" s="95"/>
      <c r="V734" s="94" t="s">
        <v>1944</v>
      </c>
    </row>
    <row r="735" spans="21:22">
      <c r="U735" s="95" t="s">
        <v>583</v>
      </c>
      <c r="V735" s="94" t="s">
        <v>1946</v>
      </c>
    </row>
    <row r="736" spans="21:22">
      <c r="U736" s="95" t="s">
        <v>584</v>
      </c>
      <c r="V736" s="94" t="s">
        <v>1948</v>
      </c>
    </row>
    <row r="737" spans="21:22">
      <c r="U737" s="95" t="s">
        <v>585</v>
      </c>
      <c r="V737" s="94"/>
    </row>
    <row r="738" spans="21:22">
      <c r="U738" s="95"/>
      <c r="V738" s="94" t="s">
        <v>1950</v>
      </c>
    </row>
    <row r="739" spans="21:22">
      <c r="U739" s="95" t="s">
        <v>586</v>
      </c>
      <c r="V739" s="94" t="s">
        <v>1952</v>
      </c>
    </row>
    <row r="740" spans="21:22">
      <c r="U740" s="95"/>
      <c r="V740" s="94" t="s">
        <v>1954</v>
      </c>
    </row>
    <row r="741" spans="21:22">
      <c r="U741" s="95" t="s">
        <v>587</v>
      </c>
      <c r="V741" s="94" t="s">
        <v>1956</v>
      </c>
    </row>
    <row r="742" spans="21:22">
      <c r="U742" s="95"/>
      <c r="V742" s="94" t="s">
        <v>1958</v>
      </c>
    </row>
    <row r="743" spans="21:22">
      <c r="U743" s="95" t="s">
        <v>588</v>
      </c>
      <c r="V743" s="94" t="s">
        <v>1960</v>
      </c>
    </row>
    <row r="744" spans="21:22">
      <c r="U744" s="95"/>
      <c r="V744" s="94" t="s">
        <v>1962</v>
      </c>
    </row>
    <row r="745" spans="21:22">
      <c r="U745" s="95" t="s">
        <v>589</v>
      </c>
      <c r="V745" s="94" t="s">
        <v>1964</v>
      </c>
    </row>
    <row r="746" spans="21:22">
      <c r="U746" s="95" t="s">
        <v>590</v>
      </c>
      <c r="V746" s="94"/>
    </row>
    <row r="747" spans="21:22">
      <c r="U747" s="95"/>
      <c r="V747" s="94" t="s">
        <v>479</v>
      </c>
    </row>
    <row r="748" spans="21:22">
      <c r="U748" s="95" t="s">
        <v>591</v>
      </c>
      <c r="V748" s="94"/>
    </row>
    <row r="749" spans="21:22">
      <c r="U749" s="95" t="s">
        <v>592</v>
      </c>
      <c r="V749" s="94" t="s">
        <v>1967</v>
      </c>
    </row>
    <row r="750" spans="21:22">
      <c r="U750" s="30"/>
      <c r="V750" s="94" t="s">
        <v>1969</v>
      </c>
    </row>
    <row r="751" spans="21:22" ht="15.75" thickBot="1">
      <c r="U751" s="92"/>
      <c r="V751" s="94"/>
    </row>
    <row r="752" spans="21:22">
      <c r="V752" s="94" t="s">
        <v>1971</v>
      </c>
    </row>
    <row r="753" spans="22:22">
      <c r="V753" s="94" t="s">
        <v>1973</v>
      </c>
    </row>
    <row r="754" spans="22:22">
      <c r="V754" s="94"/>
    </row>
    <row r="755" spans="22:22">
      <c r="V755" s="94" t="s">
        <v>1975</v>
      </c>
    </row>
    <row r="756" spans="22:22">
      <c r="V756" s="94" t="s">
        <v>1977</v>
      </c>
    </row>
    <row r="757" spans="22:22">
      <c r="V757" s="94" t="s">
        <v>484</v>
      </c>
    </row>
    <row r="758" spans="22:22">
      <c r="V758" s="94" t="s">
        <v>485</v>
      </c>
    </row>
    <row r="759" spans="22:22">
      <c r="V759" s="94"/>
    </row>
    <row r="760" spans="22:22">
      <c r="V760" s="94" t="s">
        <v>1981</v>
      </c>
    </row>
    <row r="761" spans="22:22">
      <c r="V761" s="94" t="s">
        <v>1983</v>
      </c>
    </row>
    <row r="762" spans="22:22">
      <c r="V762" s="94" t="s">
        <v>1985</v>
      </c>
    </row>
    <row r="763" spans="22:22">
      <c r="V763" s="94"/>
    </row>
    <row r="764" spans="22:22">
      <c r="V764" s="94" t="s">
        <v>486</v>
      </c>
    </row>
    <row r="765" spans="22:22">
      <c r="V765" s="94" t="s">
        <v>1988</v>
      </c>
    </row>
    <row r="766" spans="22:22">
      <c r="V766" s="94" t="s">
        <v>1990</v>
      </c>
    </row>
    <row r="767" spans="22:22">
      <c r="V767" s="94" t="s">
        <v>1992</v>
      </c>
    </row>
    <row r="768" spans="22:22">
      <c r="V768" s="94" t="s">
        <v>1994</v>
      </c>
    </row>
    <row r="769" spans="22:22">
      <c r="V769" s="94" t="s">
        <v>1996</v>
      </c>
    </row>
    <row r="770" spans="22:22">
      <c r="V770" s="94" t="s">
        <v>1998</v>
      </c>
    </row>
    <row r="771" spans="22:22">
      <c r="V771" s="94" t="s">
        <v>2000</v>
      </c>
    </row>
    <row r="772" spans="22:22">
      <c r="V772" s="94" t="s">
        <v>2002</v>
      </c>
    </row>
    <row r="773" spans="22:22">
      <c r="V773" s="94" t="s">
        <v>2004</v>
      </c>
    </row>
    <row r="774" spans="22:22">
      <c r="V774" s="94" t="s">
        <v>2006</v>
      </c>
    </row>
    <row r="775" spans="22:22">
      <c r="V775" s="94" t="s">
        <v>2008</v>
      </c>
    </row>
    <row r="776" spans="22:22">
      <c r="V776" s="94" t="s">
        <v>2010</v>
      </c>
    </row>
    <row r="777" spans="22:22">
      <c r="V777" s="94" t="s">
        <v>2012</v>
      </c>
    </row>
    <row r="778" spans="22:22">
      <c r="V778" s="94" t="s">
        <v>2014</v>
      </c>
    </row>
    <row r="779" spans="22:22">
      <c r="V779" s="94"/>
    </row>
    <row r="780" spans="22:22">
      <c r="V780" s="94" t="s">
        <v>2016</v>
      </c>
    </row>
    <row r="781" spans="22:22">
      <c r="V781" s="94" t="s">
        <v>2018</v>
      </c>
    </row>
    <row r="782" spans="22:22">
      <c r="V782" s="94" t="s">
        <v>2020</v>
      </c>
    </row>
    <row r="783" spans="22:22">
      <c r="V783" s="94" t="s">
        <v>2022</v>
      </c>
    </row>
    <row r="784" spans="22:22">
      <c r="V784" s="94" t="s">
        <v>2024</v>
      </c>
    </row>
    <row r="785" spans="22:22">
      <c r="V785" s="94" t="s">
        <v>2026</v>
      </c>
    </row>
    <row r="786" spans="22:22">
      <c r="V786" s="94" t="s">
        <v>2028</v>
      </c>
    </row>
    <row r="787" spans="22:22">
      <c r="V787" s="94" t="s">
        <v>2030</v>
      </c>
    </row>
    <row r="788" spans="22:22">
      <c r="V788" s="94" t="s">
        <v>2032</v>
      </c>
    </row>
    <row r="789" spans="22:22">
      <c r="V789" s="94"/>
    </row>
    <row r="790" spans="22:22">
      <c r="V790" s="94" t="s">
        <v>2034</v>
      </c>
    </row>
    <row r="791" spans="22:22">
      <c r="V791" s="94" t="s">
        <v>2036</v>
      </c>
    </row>
    <row r="792" spans="22:22">
      <c r="V792" s="94"/>
    </row>
    <row r="793" spans="22:22">
      <c r="V793" s="94" t="s">
        <v>2038</v>
      </c>
    </row>
    <row r="794" spans="22:22">
      <c r="V794" s="94"/>
    </row>
    <row r="795" spans="22:22">
      <c r="V795" s="94" t="s">
        <v>2040</v>
      </c>
    </row>
    <row r="796" spans="22:22">
      <c r="V796" s="94" t="s">
        <v>2042</v>
      </c>
    </row>
    <row r="797" spans="22:22">
      <c r="V797" s="94" t="s">
        <v>2044</v>
      </c>
    </row>
    <row r="798" spans="22:22">
      <c r="V798" s="94" t="s">
        <v>2046</v>
      </c>
    </row>
    <row r="799" spans="22:22">
      <c r="V799" s="94"/>
    </row>
    <row r="800" spans="22:22">
      <c r="V800" s="94" t="s">
        <v>2048</v>
      </c>
    </row>
    <row r="801" spans="22:22">
      <c r="V801" s="94" t="s">
        <v>2050</v>
      </c>
    </row>
    <row r="802" spans="22:22">
      <c r="V802" s="94"/>
    </row>
    <row r="803" spans="22:22">
      <c r="V803" s="94" t="s">
        <v>2052</v>
      </c>
    </row>
    <row r="804" spans="22:22">
      <c r="V804" s="94" t="s">
        <v>2054</v>
      </c>
    </row>
    <row r="805" spans="22:22">
      <c r="V805" s="94" t="s">
        <v>2056</v>
      </c>
    </row>
    <row r="806" spans="22:22">
      <c r="V806" s="94" t="s">
        <v>2058</v>
      </c>
    </row>
    <row r="807" spans="22:22">
      <c r="V807" s="94" t="s">
        <v>2060</v>
      </c>
    </row>
    <row r="808" spans="22:22">
      <c r="V808" s="94" t="s">
        <v>2062</v>
      </c>
    </row>
    <row r="809" spans="22:22">
      <c r="V809" s="94" t="s">
        <v>2064</v>
      </c>
    </row>
    <row r="810" spans="22:22">
      <c r="V810" s="94"/>
    </row>
    <row r="811" spans="22:22">
      <c r="V811" s="94" t="s">
        <v>2066</v>
      </c>
    </row>
    <row r="812" spans="22:22">
      <c r="V812" s="94" t="s">
        <v>2068</v>
      </c>
    </row>
    <row r="813" spans="22:22">
      <c r="V813" s="94" t="s">
        <v>2070</v>
      </c>
    </row>
    <row r="814" spans="22:22">
      <c r="V814" s="94" t="s">
        <v>2072</v>
      </c>
    </row>
    <row r="815" spans="22:22">
      <c r="V815" s="94"/>
    </row>
    <row r="816" spans="22:22">
      <c r="V816" s="94" t="s">
        <v>2074</v>
      </c>
    </row>
    <row r="817" spans="22:22">
      <c r="V817" s="94"/>
    </row>
    <row r="818" spans="22:22">
      <c r="V818" s="94" t="s">
        <v>2076</v>
      </c>
    </row>
    <row r="819" spans="22:22">
      <c r="V819" s="94"/>
    </row>
    <row r="820" spans="22:22">
      <c r="V820" s="94" t="s">
        <v>2078</v>
      </c>
    </row>
    <row r="821" spans="22:22">
      <c r="V821" s="94" t="s">
        <v>2080</v>
      </c>
    </row>
    <row r="822" spans="22:22">
      <c r="V822" s="94" t="s">
        <v>518</v>
      </c>
    </row>
    <row r="823" spans="22:22">
      <c r="V823" s="94" t="s">
        <v>2083</v>
      </c>
    </row>
    <row r="824" spans="22:22">
      <c r="V824" s="94" t="s">
        <v>2085</v>
      </c>
    </row>
    <row r="825" spans="22:22">
      <c r="V825" s="94" t="s">
        <v>2087</v>
      </c>
    </row>
    <row r="826" spans="22:22">
      <c r="V826" s="94" t="s">
        <v>2087</v>
      </c>
    </row>
    <row r="827" spans="22:22">
      <c r="V827" s="94" t="s">
        <v>2090</v>
      </c>
    </row>
    <row r="828" spans="22:22">
      <c r="V828" s="94" t="s">
        <v>2092</v>
      </c>
    </row>
    <row r="829" spans="22:22">
      <c r="V829" s="94" t="s">
        <v>2094</v>
      </c>
    </row>
    <row r="830" spans="22:22">
      <c r="V830" s="94" t="s">
        <v>2094</v>
      </c>
    </row>
    <row r="831" spans="22:22">
      <c r="V831" s="94" t="s">
        <v>2097</v>
      </c>
    </row>
    <row r="832" spans="22:22">
      <c r="V832" s="94" t="s">
        <v>2099</v>
      </c>
    </row>
    <row r="833" spans="22:22">
      <c r="V833" s="94" t="s">
        <v>2101</v>
      </c>
    </row>
    <row r="834" spans="22:22">
      <c r="V834" s="94" t="s">
        <v>2103</v>
      </c>
    </row>
    <row r="835" spans="22:22">
      <c r="V835" s="94" t="s">
        <v>2105</v>
      </c>
    </row>
    <row r="836" spans="22:22">
      <c r="V836" s="94" t="s">
        <v>2107</v>
      </c>
    </row>
    <row r="837" spans="22:22">
      <c r="V837" s="94" t="s">
        <v>2109</v>
      </c>
    </row>
    <row r="838" spans="22:22">
      <c r="V838" s="94" t="s">
        <v>2111</v>
      </c>
    </row>
    <row r="839" spans="22:22">
      <c r="V839" s="94" t="s">
        <v>2113</v>
      </c>
    </row>
    <row r="840" spans="22:22">
      <c r="V840" s="94" t="s">
        <v>2115</v>
      </c>
    </row>
    <row r="841" spans="22:22">
      <c r="V841" s="94" t="s">
        <v>2117</v>
      </c>
    </row>
    <row r="842" spans="22:22">
      <c r="V842" s="94" t="s">
        <v>2119</v>
      </c>
    </row>
    <row r="843" spans="22:22">
      <c r="V843" s="94" t="s">
        <v>2121</v>
      </c>
    </row>
    <row r="844" spans="22:22">
      <c r="V844" s="94" t="s">
        <v>537</v>
      </c>
    </row>
    <row r="845" spans="22:22">
      <c r="V845" s="94" t="s">
        <v>2124</v>
      </c>
    </row>
    <row r="846" spans="22:22">
      <c r="V846" s="94" t="s">
        <v>2126</v>
      </c>
    </row>
    <row r="847" spans="22:22">
      <c r="V847" s="94" t="s">
        <v>2128</v>
      </c>
    </row>
    <row r="848" spans="22:22">
      <c r="V848" s="94" t="s">
        <v>2130</v>
      </c>
    </row>
    <row r="849" spans="22:22">
      <c r="V849" s="94" t="s">
        <v>2132</v>
      </c>
    </row>
    <row r="850" spans="22:22">
      <c r="V850" s="94" t="s">
        <v>2134</v>
      </c>
    </row>
    <row r="851" spans="22:22">
      <c r="V851" s="94" t="s">
        <v>2136</v>
      </c>
    </row>
    <row r="852" spans="22:22">
      <c r="V852" s="94" t="s">
        <v>2138</v>
      </c>
    </row>
    <row r="853" spans="22:22">
      <c r="V853" s="94" t="s">
        <v>2140</v>
      </c>
    </row>
    <row r="854" spans="22:22">
      <c r="V854" s="94" t="s">
        <v>2142</v>
      </c>
    </row>
    <row r="855" spans="22:22">
      <c r="V855" s="94" t="s">
        <v>2144</v>
      </c>
    </row>
    <row r="856" spans="22:22">
      <c r="V856" s="94" t="s">
        <v>2146</v>
      </c>
    </row>
    <row r="857" spans="22:22">
      <c r="V857" s="94" t="s">
        <v>2148</v>
      </c>
    </row>
    <row r="858" spans="22:22">
      <c r="V858" s="94" t="s">
        <v>2150</v>
      </c>
    </row>
    <row r="859" spans="22:22">
      <c r="V859" s="94" t="s">
        <v>2152</v>
      </c>
    </row>
    <row r="860" spans="22:22">
      <c r="V860" s="94" t="s">
        <v>2152</v>
      </c>
    </row>
    <row r="861" spans="22:22">
      <c r="V861" s="94" t="s">
        <v>2155</v>
      </c>
    </row>
    <row r="862" spans="22:22">
      <c r="V862" s="94"/>
    </row>
    <row r="863" spans="22:22">
      <c r="V863" s="94" t="s">
        <v>2157</v>
      </c>
    </row>
    <row r="864" spans="22:22">
      <c r="V864" s="94" t="s">
        <v>2159</v>
      </c>
    </row>
    <row r="865" spans="22:22">
      <c r="V865" s="94" t="s">
        <v>2161</v>
      </c>
    </row>
    <row r="866" spans="22:22">
      <c r="V866" s="94" t="s">
        <v>2163</v>
      </c>
    </row>
    <row r="867" spans="22:22">
      <c r="V867" s="94" t="s">
        <v>2165</v>
      </c>
    </row>
    <row r="868" spans="22:22">
      <c r="V868" s="94" t="s">
        <v>2167</v>
      </c>
    </row>
    <row r="869" spans="22:22">
      <c r="V869" s="94" t="s">
        <v>2169</v>
      </c>
    </row>
    <row r="870" spans="22:22">
      <c r="V870" s="94" t="s">
        <v>2171</v>
      </c>
    </row>
    <row r="871" spans="22:22">
      <c r="V871" s="94" t="s">
        <v>2173</v>
      </c>
    </row>
    <row r="872" spans="22:22">
      <c r="V872" s="94" t="s">
        <v>2175</v>
      </c>
    </row>
    <row r="873" spans="22:22">
      <c r="V873" s="94" t="s">
        <v>2177</v>
      </c>
    </row>
    <row r="874" spans="22:22">
      <c r="V874" s="94" t="s">
        <v>2179</v>
      </c>
    </row>
    <row r="875" spans="22:22">
      <c r="V875" s="94" t="s">
        <v>2181</v>
      </c>
    </row>
    <row r="876" spans="22:22">
      <c r="V876" s="94" t="s">
        <v>2183</v>
      </c>
    </row>
    <row r="877" spans="22:22">
      <c r="V877" s="94" t="s">
        <v>2185</v>
      </c>
    </row>
    <row r="878" spans="22:22">
      <c r="V878" s="94" t="s">
        <v>2187</v>
      </c>
    </row>
    <row r="879" spans="22:22">
      <c r="V879" s="94" t="s">
        <v>2189</v>
      </c>
    </row>
    <row r="880" spans="22:22">
      <c r="V880" s="94" t="s">
        <v>2191</v>
      </c>
    </row>
    <row r="881" spans="22:22">
      <c r="V881" s="94" t="s">
        <v>2193</v>
      </c>
    </row>
    <row r="882" spans="22:22">
      <c r="V882" s="94" t="s">
        <v>2195</v>
      </c>
    </row>
    <row r="883" spans="22:22">
      <c r="V883" s="94" t="s">
        <v>2197</v>
      </c>
    </row>
    <row r="884" spans="22:22">
      <c r="V884" s="94" t="s">
        <v>2199</v>
      </c>
    </row>
    <row r="885" spans="22:22">
      <c r="V885" s="94" t="s">
        <v>2201</v>
      </c>
    </row>
    <row r="886" spans="22:22">
      <c r="V886" s="94" t="s">
        <v>2203</v>
      </c>
    </row>
    <row r="887" spans="22:22">
      <c r="V887" s="94" t="s">
        <v>2205</v>
      </c>
    </row>
    <row r="888" spans="22:22">
      <c r="V888" s="94" t="s">
        <v>2207</v>
      </c>
    </row>
    <row r="889" spans="22:22">
      <c r="V889" s="94" t="s">
        <v>2209</v>
      </c>
    </row>
    <row r="890" spans="22:22">
      <c r="V890" s="94" t="s">
        <v>2211</v>
      </c>
    </row>
    <row r="891" spans="22:22">
      <c r="V891" s="94" t="s">
        <v>2213</v>
      </c>
    </row>
    <row r="892" spans="22:22">
      <c r="V892" s="94"/>
    </row>
    <row r="893" spans="22:22">
      <c r="V893" s="94" t="s">
        <v>2215</v>
      </c>
    </row>
    <row r="894" spans="22:22">
      <c r="V894" s="94" t="s">
        <v>2217</v>
      </c>
    </row>
    <row r="895" spans="22:22">
      <c r="V895" s="94" t="s">
        <v>2219</v>
      </c>
    </row>
    <row r="896" spans="22:22">
      <c r="V896" s="94" t="s">
        <v>2221</v>
      </c>
    </row>
    <row r="897" spans="22:22">
      <c r="V897" s="94" t="s">
        <v>2223</v>
      </c>
    </row>
    <row r="898" spans="22:22">
      <c r="V898" s="94" t="s">
        <v>2225</v>
      </c>
    </row>
    <row r="899" spans="22:22">
      <c r="V899" s="94"/>
    </row>
    <row r="900" spans="22:22">
      <c r="V900" s="94" t="s">
        <v>2227</v>
      </c>
    </row>
    <row r="901" spans="22:22">
      <c r="V901" s="94" t="s">
        <v>2229</v>
      </c>
    </row>
    <row r="902" spans="22:22">
      <c r="V902" s="94" t="s">
        <v>2231</v>
      </c>
    </row>
    <row r="903" spans="22:22">
      <c r="V903" s="94" t="s">
        <v>2233</v>
      </c>
    </row>
    <row r="904" spans="22:22">
      <c r="V904" s="94"/>
    </row>
    <row r="905" spans="22:22">
      <c r="V905" s="94" t="s">
        <v>2235</v>
      </c>
    </row>
    <row r="906" spans="22:22">
      <c r="V906" s="94"/>
    </row>
    <row r="907" spans="22:22">
      <c r="V907" s="94" t="s">
        <v>2237</v>
      </c>
    </row>
    <row r="908" spans="22:22">
      <c r="V908" s="94"/>
    </row>
    <row r="909" spans="22:22">
      <c r="V909" s="94" t="s">
        <v>2239</v>
      </c>
    </row>
    <row r="910" spans="22:22">
      <c r="V910" s="94"/>
    </row>
    <row r="911" spans="22:22">
      <c r="V911" s="94" t="s">
        <v>566</v>
      </c>
    </row>
    <row r="912" spans="22:22">
      <c r="V912" s="94"/>
    </row>
    <row r="913" spans="22:22">
      <c r="V913" s="94" t="s">
        <v>2242</v>
      </c>
    </row>
    <row r="914" spans="22:22">
      <c r="V914" s="94"/>
    </row>
    <row r="915" spans="22:22">
      <c r="V915" s="94" t="s">
        <v>5166</v>
      </c>
    </row>
    <row r="916" spans="22:22">
      <c r="V916" s="94" t="s">
        <v>5167</v>
      </c>
    </row>
    <row r="917" spans="22:22">
      <c r="V917" s="94" t="s">
        <v>5168</v>
      </c>
    </row>
    <row r="918" spans="22:22">
      <c r="V918" s="94" t="s">
        <v>5169</v>
      </c>
    </row>
    <row r="919" spans="22:22">
      <c r="V919" s="94" t="s">
        <v>5170</v>
      </c>
    </row>
    <row r="920" spans="22:22">
      <c r="V920" s="94" t="s">
        <v>5171</v>
      </c>
    </row>
    <row r="921" spans="22:22">
      <c r="V921" s="94" t="s">
        <v>5172</v>
      </c>
    </row>
    <row r="922" spans="22:22">
      <c r="V922" s="94" t="s">
        <v>5173</v>
      </c>
    </row>
    <row r="923" spans="22:22">
      <c r="V923" s="94" t="s">
        <v>5174</v>
      </c>
    </row>
    <row r="924" spans="22:22">
      <c r="V924" s="94" t="s">
        <v>5175</v>
      </c>
    </row>
    <row r="925" spans="22:22">
      <c r="V925" s="94" t="s">
        <v>5176</v>
      </c>
    </row>
    <row r="926" spans="22:22">
      <c r="V926" s="94" t="s">
        <v>5177</v>
      </c>
    </row>
    <row r="927" spans="22:22">
      <c r="V927" s="94" t="s">
        <v>5177</v>
      </c>
    </row>
    <row r="928" spans="22:22">
      <c r="V928" s="94" t="s">
        <v>5178</v>
      </c>
    </row>
    <row r="929" spans="22:22">
      <c r="V929" s="94" t="s">
        <v>5096</v>
      </c>
    </row>
    <row r="930" spans="22:22">
      <c r="V930" s="94" t="s">
        <v>5179</v>
      </c>
    </row>
    <row r="931" spans="22:22">
      <c r="V931" s="94" t="s">
        <v>5179</v>
      </c>
    </row>
    <row r="932" spans="22:22">
      <c r="V932" s="94" t="s">
        <v>5180</v>
      </c>
    </row>
    <row r="933" spans="22:22">
      <c r="V933" s="94" t="s">
        <v>5181</v>
      </c>
    </row>
    <row r="934" spans="22:22">
      <c r="V934" s="94" t="s">
        <v>5182</v>
      </c>
    </row>
    <row r="935" spans="22:22">
      <c r="V935" s="94" t="s">
        <v>5183</v>
      </c>
    </row>
    <row r="936" spans="22:22">
      <c r="V936" s="94" t="s">
        <v>5184</v>
      </c>
    </row>
    <row r="937" spans="22:22">
      <c r="V937" s="94" t="s">
        <v>5185</v>
      </c>
    </row>
    <row r="938" spans="22:22">
      <c r="V938" s="94" t="s">
        <v>5186</v>
      </c>
    </row>
    <row r="939" spans="22:22">
      <c r="V939" s="94" t="s">
        <v>5187</v>
      </c>
    </row>
    <row r="940" spans="22:22">
      <c r="V940" s="94" t="s">
        <v>5188</v>
      </c>
    </row>
    <row r="941" spans="22:22">
      <c r="V941" s="94" t="s">
        <v>5088</v>
      </c>
    </row>
    <row r="942" spans="22:22">
      <c r="V942" s="94" t="s">
        <v>5189</v>
      </c>
    </row>
    <row r="943" spans="22:22">
      <c r="V943" s="94" t="s">
        <v>5190</v>
      </c>
    </row>
    <row r="944" spans="22:22">
      <c r="V944" s="94" t="s">
        <v>5191</v>
      </c>
    </row>
    <row r="945" spans="22:22">
      <c r="V945" s="94" t="s">
        <v>5146</v>
      </c>
    </row>
    <row r="946" spans="22:22">
      <c r="V946" s="94" t="s">
        <v>5146</v>
      </c>
    </row>
    <row r="947" spans="22:22">
      <c r="V947" s="94" t="s">
        <v>5146</v>
      </c>
    </row>
    <row r="948" spans="22:22">
      <c r="V948" s="94" t="s">
        <v>5192</v>
      </c>
    </row>
    <row r="949" spans="22:22">
      <c r="V949" s="94" t="s">
        <v>5193</v>
      </c>
    </row>
    <row r="950" spans="22:22">
      <c r="V950" s="94" t="s">
        <v>5194</v>
      </c>
    </row>
    <row r="951" spans="22:22">
      <c r="V951" s="94" t="s">
        <v>5086</v>
      </c>
    </row>
    <row r="952" spans="22:22">
      <c r="V952" s="94" t="s">
        <v>5195</v>
      </c>
    </row>
    <row r="953" spans="22:22">
      <c r="V953" s="94" t="s">
        <v>5196</v>
      </c>
    </row>
    <row r="954" spans="22:22">
      <c r="V954" s="94" t="s">
        <v>5197</v>
      </c>
    </row>
    <row r="955" spans="22:22">
      <c r="V955" s="94" t="s">
        <v>5198</v>
      </c>
    </row>
    <row r="956" spans="22:22">
      <c r="V956" s="94" t="s">
        <v>5199</v>
      </c>
    </row>
    <row r="957" spans="22:22">
      <c r="V957" s="94" t="s">
        <v>5200</v>
      </c>
    </row>
    <row r="958" spans="22:22">
      <c r="V958" s="94" t="s">
        <v>5201</v>
      </c>
    </row>
    <row r="959" spans="22:22">
      <c r="V959" s="94" t="s">
        <v>5202</v>
      </c>
    </row>
    <row r="960" spans="22:22">
      <c r="V960" s="94" t="s">
        <v>5203</v>
      </c>
    </row>
    <row r="961" spans="22:22">
      <c r="V961" s="94" t="s">
        <v>5204</v>
      </c>
    </row>
    <row r="962" spans="22:22">
      <c r="V962" s="94" t="s">
        <v>5205</v>
      </c>
    </row>
    <row r="963" spans="22:22">
      <c r="V963" s="94"/>
    </row>
    <row r="964" spans="22:22">
      <c r="V964" s="94" t="s">
        <v>5206</v>
      </c>
    </row>
    <row r="965" spans="22:22">
      <c r="V965" s="94" t="s">
        <v>5207</v>
      </c>
    </row>
    <row r="966" spans="22:22">
      <c r="V966" s="94" t="s">
        <v>5208</v>
      </c>
    </row>
    <row r="967" spans="22:22">
      <c r="V967" s="94" t="s">
        <v>5209</v>
      </c>
    </row>
    <row r="968" spans="22:22">
      <c r="V968" s="94" t="s">
        <v>5210</v>
      </c>
    </row>
    <row r="969" spans="22:22">
      <c r="V969" s="94" t="s">
        <v>5211</v>
      </c>
    </row>
    <row r="970" spans="22:22">
      <c r="V970" s="94" t="s">
        <v>5212</v>
      </c>
    </row>
    <row r="971" spans="22:22">
      <c r="V971" s="94" t="s">
        <v>5213</v>
      </c>
    </row>
    <row r="972" spans="22:22">
      <c r="V972" s="94" t="s">
        <v>5214</v>
      </c>
    </row>
    <row r="973" spans="22:22">
      <c r="V973" s="94" t="s">
        <v>5163</v>
      </c>
    </row>
    <row r="974" spans="22:22">
      <c r="V974" s="94" t="s">
        <v>5215</v>
      </c>
    </row>
    <row r="975" spans="22:22">
      <c r="V975" s="94" t="s">
        <v>5216</v>
      </c>
    </row>
    <row r="976" spans="22:22">
      <c r="V976" s="94" t="s">
        <v>5217</v>
      </c>
    </row>
    <row r="977" spans="22:22">
      <c r="V977" s="94" t="s">
        <v>5218</v>
      </c>
    </row>
    <row r="978" spans="22:22">
      <c r="V978" s="94" t="s">
        <v>5219</v>
      </c>
    </row>
    <row r="979" spans="22:22">
      <c r="V979" s="94" t="s">
        <v>5220</v>
      </c>
    </row>
    <row r="980" spans="22:22">
      <c r="V980" s="94" t="s">
        <v>5221</v>
      </c>
    </row>
    <row r="981" spans="22:22">
      <c r="V981" s="94" t="s">
        <v>5222</v>
      </c>
    </row>
    <row r="982" spans="22:22">
      <c r="V982" s="94" t="s">
        <v>5223</v>
      </c>
    </row>
    <row r="983" spans="22:22">
      <c r="V983" s="94" t="s">
        <v>5224</v>
      </c>
    </row>
    <row r="984" spans="22:22">
      <c r="V984" s="94" t="s">
        <v>5225</v>
      </c>
    </row>
    <row r="985" spans="22:22">
      <c r="V985" s="94" t="s">
        <v>5226</v>
      </c>
    </row>
    <row r="986" spans="22:22">
      <c r="V986" s="94" t="s">
        <v>5227</v>
      </c>
    </row>
    <row r="987" spans="22:22">
      <c r="V987" s="94" t="s">
        <v>5228</v>
      </c>
    </row>
    <row r="988" spans="22:22">
      <c r="V988" s="94" t="s">
        <v>5229</v>
      </c>
    </row>
    <row r="989" spans="22:22">
      <c r="V989" s="94" t="s">
        <v>5230</v>
      </c>
    </row>
    <row r="990" spans="22:22">
      <c r="V990" s="94" t="s">
        <v>5231</v>
      </c>
    </row>
    <row r="991" spans="22:22">
      <c r="V991" s="94" t="s">
        <v>5232</v>
      </c>
    </row>
    <row r="992" spans="22:22">
      <c r="V992" s="94" t="s">
        <v>5233</v>
      </c>
    </row>
    <row r="993" spans="22:22">
      <c r="V993" s="94" t="s">
        <v>5234</v>
      </c>
    </row>
    <row r="994" spans="22:22">
      <c r="V994" s="94"/>
    </row>
    <row r="995" spans="22:22">
      <c r="V995" s="94" t="s">
        <v>2322</v>
      </c>
    </row>
    <row r="996" spans="22:22">
      <c r="V996" s="94" t="s">
        <v>2324</v>
      </c>
    </row>
    <row r="997" spans="22:22">
      <c r="V997" s="94" t="s">
        <v>2326</v>
      </c>
    </row>
    <row r="998" spans="22:22">
      <c r="V998" s="94" t="s">
        <v>2328</v>
      </c>
    </row>
    <row r="999" spans="22:22">
      <c r="V999" s="94" t="s">
        <v>2330</v>
      </c>
    </row>
    <row r="1000" spans="22:22">
      <c r="V1000" s="94"/>
    </row>
    <row r="1001" spans="22:22">
      <c r="V1001" s="94" t="s">
        <v>2332</v>
      </c>
    </row>
    <row r="1002" spans="22:22">
      <c r="V1002" s="94" t="s">
        <v>2334</v>
      </c>
    </row>
    <row r="1003" spans="22:22">
      <c r="V1003" s="94"/>
    </row>
    <row r="1004" spans="22:22">
      <c r="V1004" s="94" t="s">
        <v>2336</v>
      </c>
    </row>
    <row r="1005" spans="22:22">
      <c r="V1005" s="94" t="s">
        <v>572</v>
      </c>
    </row>
    <row r="1006" spans="22:22">
      <c r="V1006" s="94" t="s">
        <v>2339</v>
      </c>
    </row>
    <row r="1007" spans="22:22">
      <c r="V1007" s="94" t="s">
        <v>2341</v>
      </c>
    </row>
    <row r="1008" spans="22:22">
      <c r="V1008" s="94" t="s">
        <v>2343</v>
      </c>
    </row>
    <row r="1009" spans="22:22">
      <c r="V1009" s="94" t="s">
        <v>2345</v>
      </c>
    </row>
    <row r="1010" spans="22:22">
      <c r="V1010" s="94"/>
    </row>
    <row r="1011" spans="22:22">
      <c r="V1011" s="94" t="s">
        <v>2347</v>
      </c>
    </row>
    <row r="1012" spans="22:22">
      <c r="V1012" s="94" t="s">
        <v>2349</v>
      </c>
    </row>
    <row r="1013" spans="22:22">
      <c r="V1013" s="94" t="s">
        <v>2351</v>
      </c>
    </row>
    <row r="1014" spans="22:22">
      <c r="V1014" s="94"/>
    </row>
    <row r="1015" spans="22:22">
      <c r="V1015" s="94" t="s">
        <v>4569</v>
      </c>
    </row>
    <row r="1016" spans="22:22">
      <c r="V1016" s="94" t="s">
        <v>4653</v>
      </c>
    </row>
    <row r="1017" spans="22:22">
      <c r="V1017" s="94" t="s">
        <v>4539</v>
      </c>
    </row>
    <row r="1018" spans="22:22">
      <c r="V1018" s="94" t="s">
        <v>4654</v>
      </c>
    </row>
    <row r="1019" spans="22:22">
      <c r="V1019" s="94" t="s">
        <v>4559</v>
      </c>
    </row>
    <row r="1020" spans="22:22">
      <c r="V1020" s="94" t="s">
        <v>4537</v>
      </c>
    </row>
    <row r="1021" spans="22:22">
      <c r="V1021" s="94" t="s">
        <v>4584</v>
      </c>
    </row>
    <row r="1022" spans="22:22">
      <c r="V1022" s="94" t="s">
        <v>4655</v>
      </c>
    </row>
    <row r="1023" spans="22:22">
      <c r="V1023" s="94" t="s">
        <v>4599</v>
      </c>
    </row>
    <row r="1024" spans="22:22">
      <c r="V1024" s="94" t="s">
        <v>4588</v>
      </c>
    </row>
    <row r="1025" spans="22:22">
      <c r="V1025" s="94" t="s">
        <v>4656</v>
      </c>
    </row>
    <row r="1026" spans="22:22">
      <c r="V1026" s="94" t="s">
        <v>4637</v>
      </c>
    </row>
    <row r="1027" spans="22:22">
      <c r="V1027" s="94" t="s">
        <v>4657</v>
      </c>
    </row>
    <row r="1028" spans="22:22">
      <c r="V1028" s="94" t="s">
        <v>4658</v>
      </c>
    </row>
    <row r="1029" spans="22:22">
      <c r="V1029" s="94" t="s">
        <v>4638</v>
      </c>
    </row>
    <row r="1030" spans="22:22">
      <c r="V1030" s="94" t="s">
        <v>4659</v>
      </c>
    </row>
    <row r="1031" spans="22:22">
      <c r="V1031" s="94" t="s">
        <v>4510</v>
      </c>
    </row>
    <row r="1032" spans="22:22">
      <c r="V1032" s="94" t="s">
        <v>4639</v>
      </c>
    </row>
    <row r="1033" spans="22:22">
      <c r="V1033" s="94" t="s">
        <v>4660</v>
      </c>
    </row>
    <row r="1034" spans="22:22">
      <c r="V1034" s="94" t="s">
        <v>4642</v>
      </c>
    </row>
    <row r="1035" spans="22:22">
      <c r="V1035" s="94" t="s">
        <v>4661</v>
      </c>
    </row>
    <row r="1036" spans="22:22">
      <c r="V1036" s="94" t="s">
        <v>4662</v>
      </c>
    </row>
    <row r="1037" spans="22:22">
      <c r="V1037" s="19" t="s">
        <v>4663</v>
      </c>
    </row>
    <row r="1038" spans="22:22">
      <c r="V1038" s="94" t="s">
        <v>4664</v>
      </c>
    </row>
    <row r="1039" spans="22:22">
      <c r="V1039" s="94" t="s">
        <v>4646</v>
      </c>
    </row>
    <row r="1040" spans="22:22">
      <c r="V1040" s="94" t="s">
        <v>4533</v>
      </c>
    </row>
    <row r="1041" spans="22:22">
      <c r="V1041" s="94" t="s">
        <v>4568</v>
      </c>
    </row>
    <row r="1042" spans="22:22">
      <c r="V1042" s="94" t="s">
        <v>4557</v>
      </c>
    </row>
    <row r="1043" spans="22:22">
      <c r="V1043" s="94"/>
    </row>
    <row r="1044" spans="22:22">
      <c r="V1044" s="19" t="s">
        <v>4665</v>
      </c>
    </row>
    <row r="1045" spans="22:22">
      <c r="V1045" s="94" t="s">
        <v>4648</v>
      </c>
    </row>
    <row r="1046" spans="22:22">
      <c r="V1046" s="94" t="s">
        <v>4649</v>
      </c>
    </row>
    <row r="1047" spans="22:22">
      <c r="V1047" s="94" t="s">
        <v>4666</v>
      </c>
    </row>
    <row r="1048" spans="22:22">
      <c r="V1048" s="94" t="s">
        <v>4667</v>
      </c>
    </row>
    <row r="1049" spans="22:22">
      <c r="V1049" s="94" t="s">
        <v>4668</v>
      </c>
    </row>
    <row r="1050" spans="22:22">
      <c r="V1050" s="94" t="s">
        <v>4669</v>
      </c>
    </row>
    <row r="1051" spans="22:22">
      <c r="V1051" s="94" t="s">
        <v>4670</v>
      </c>
    </row>
    <row r="1052" spans="22:22">
      <c r="V1052" s="94" t="s">
        <v>4671</v>
      </c>
    </row>
    <row r="1053" spans="22:22">
      <c r="V1053" s="94" t="s">
        <v>4501</v>
      </c>
    </row>
    <row r="1054" spans="22:22">
      <c r="V1054" s="94" t="s">
        <v>4651</v>
      </c>
    </row>
    <row r="1055" spans="22:22">
      <c r="V1055" s="94" t="s">
        <v>4652</v>
      </c>
    </row>
    <row r="1056" spans="22:22">
      <c r="V1056" s="94" t="s">
        <v>4672</v>
      </c>
    </row>
    <row r="1057" spans="22:22">
      <c r="V1057" s="94" t="s">
        <v>4673</v>
      </c>
    </row>
    <row r="1058" spans="22:22">
      <c r="V1058" s="94" t="s">
        <v>4674</v>
      </c>
    </row>
    <row r="1059" spans="22:22">
      <c r="V1059" s="94" t="s">
        <v>4548</v>
      </c>
    </row>
    <row r="1060" spans="22:22">
      <c r="V1060" s="94" t="s">
        <v>4675</v>
      </c>
    </row>
    <row r="1061" spans="22:22">
      <c r="V1061" s="94" t="s">
        <v>4676</v>
      </c>
    </row>
    <row r="1062" spans="22:22">
      <c r="V1062" s="94" t="s">
        <v>4676</v>
      </c>
    </row>
    <row r="1063" spans="22:22">
      <c r="V1063" s="94" t="s">
        <v>4583</v>
      </c>
    </row>
    <row r="1064" spans="22:22">
      <c r="V1064" s="94" t="s">
        <v>4677</v>
      </c>
    </row>
    <row r="1065" spans="22:22">
      <c r="V1065" s="94" t="s">
        <v>4678</v>
      </c>
    </row>
    <row r="1066" spans="22:22">
      <c r="V1066" s="94"/>
    </row>
    <row r="1067" spans="22:22">
      <c r="V1067" s="94" t="s">
        <v>2403</v>
      </c>
    </row>
    <row r="1068" spans="22:22">
      <c r="V1068" s="94"/>
    </row>
    <row r="1069" spans="22:22">
      <c r="V1069" s="94" t="s">
        <v>2405</v>
      </c>
    </row>
    <row r="1070" spans="22:22">
      <c r="V1070" s="94" t="s">
        <v>2407</v>
      </c>
    </row>
    <row r="1071" spans="22:22">
      <c r="V1071" s="94" t="s">
        <v>2409</v>
      </c>
    </row>
    <row r="1072" spans="22:22">
      <c r="V1072" s="94"/>
    </row>
    <row r="1073" spans="22:22">
      <c r="V1073" s="94" t="s">
        <v>2411</v>
      </c>
    </row>
    <row r="1074" spans="22:22">
      <c r="V1074" s="94"/>
    </row>
    <row r="1075" spans="22:22">
      <c r="V1075" s="94" t="s">
        <v>2413</v>
      </c>
    </row>
    <row r="1076" spans="22:22">
      <c r="V1076" s="94"/>
    </row>
    <row r="1077" spans="22:22">
      <c r="V1077" s="94" t="s">
        <v>591</v>
      </c>
    </row>
    <row r="1078" spans="22:22">
      <c r="V1078" s="94"/>
    </row>
    <row r="1079" spans="22:22">
      <c r="V1079" s="94" t="s">
        <v>2416</v>
      </c>
    </row>
  </sheetData>
  <autoFilter ref="A1:AD687" xr:uid="{CEB793F8-9675-4F90-8382-FD91E05ED106}"/>
  <dataConsolidate link="1"/>
  <mergeCells count="1">
    <mergeCell ref="U207:U208"/>
  </mergeCells>
  <conditionalFormatting sqref="A1 H1:O1048576 Q1:R1048576 C1:F1 W1:X1048576 A101:A1048576 C101:F1048576">
    <cfRule type="duplicateValues" dxfId="5" priority="11"/>
  </conditionalFormatting>
  <conditionalFormatting sqref="A2:A100">
    <cfRule type="duplicateValues" dxfId="4" priority="5"/>
  </conditionalFormatting>
  <conditionalFormatting sqref="C2:C99">
    <cfRule type="duplicateValues" dxfId="3" priority="4"/>
  </conditionalFormatting>
  <conditionalFormatting sqref="D2:D100">
    <cfRule type="duplicateValues" dxfId="2" priority="3"/>
  </conditionalFormatting>
  <conditionalFormatting sqref="E2:E100">
    <cfRule type="duplicateValues" dxfId="1" priority="2"/>
  </conditionalFormatting>
  <conditionalFormatting sqref="F2:F89 F91:F100">
    <cfRule type="duplicateValues" dxfId="0" priority="1"/>
  </conditionalFormatting>
  <hyperlinks>
    <hyperlink ref="V1" location="'Список избирателей'!A1" display="Список избирателей" xr:uid="{17EE41B2-B8D3-472D-B2DD-E45E41E4C9A0}"/>
    <hyperlink ref="U1" location="'Список семей 1920'!A1" display="Список семей 1920" xr:uid="{94401644-727E-4E5C-B4FF-AE433DF96CA2}"/>
    <hyperlink ref="A1" location="Родившиеся!A1" display="Родившиеся" xr:uid="{EDE6BA71-9766-4B88-AB08-00B8C0547F43}"/>
    <hyperlink ref="H1" location="Бракосочетавшиеся!A1" display="Бракосочетавшиеся" xr:uid="{0949D631-DE80-470A-BEC7-7D9CAF2419C6}"/>
    <hyperlink ref="P1" location="Умершие!A1" display="Умершие" xr:uid="{19DBC05E-0023-4FD2-9068-3EE70100D13F}"/>
    <hyperlink ref="S1" location="'Рев сказки'!A1" display="Ревизские сказки" xr:uid="{9B91FC3B-46AB-4737-821E-F486D8F68DD1}"/>
    <hyperlink ref="A2" location="'Все найденные персоны'!A3" display="Родившийся" xr:uid="{C7F69941-5AE1-4875-95FD-3C041EBBD95E}"/>
    <hyperlink ref="G2" location="'Все найденные персоны'!G3" display="Год св-бы" xr:uid="{ED5F1F01-1966-4B43-9837-03A4E6E1E1A7}"/>
    <hyperlink ref="P2" location="'Все найденные персоны'!P3" display="Год" xr:uid="{35AB3E83-5F00-4C63-A1C5-D494EF22BC2B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oggleButton1">
          <controlPr defaultSize="0" autoLine="0" r:id="rId5">
            <anchor moveWithCells="1">
              <from>
                <xdr:col>7</xdr:col>
                <xdr:colOff>161925</xdr:colOff>
                <xdr:row>28</xdr:row>
                <xdr:rowOff>152400</xdr:rowOff>
              </from>
              <to>
                <xdr:col>7</xdr:col>
                <xdr:colOff>1428750</xdr:colOff>
                <xdr:row>30</xdr:row>
                <xdr:rowOff>85725</xdr:rowOff>
              </to>
            </anchor>
          </controlPr>
        </control>
      </mc:Choice>
      <mc:Fallback>
        <control shapeId="1026" r:id="rId4" name="ToggleButton1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7</xdr:col>
                <xdr:colOff>161925</xdr:colOff>
                <xdr:row>26</xdr:row>
                <xdr:rowOff>152400</xdr:rowOff>
              </from>
              <to>
                <xdr:col>7</xdr:col>
                <xdr:colOff>1428750</xdr:colOff>
                <xdr:row>28</xdr:row>
                <xdr:rowOff>152400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7" r:id="rId8" name="Label1">
          <controlPr defaultSize="0" disabled="1" autoLine="0" r:id="rId9">
            <anchor moveWithCells="1">
              <from>
                <xdr:col>7</xdr:col>
                <xdr:colOff>161925</xdr:colOff>
                <xdr:row>30</xdr:row>
                <xdr:rowOff>85725</xdr:rowOff>
              </from>
              <to>
                <xdr:col>7</xdr:col>
                <xdr:colOff>1428750</xdr:colOff>
                <xdr:row>31</xdr:row>
                <xdr:rowOff>161925</xdr:rowOff>
              </to>
            </anchor>
          </controlPr>
        </control>
      </mc:Choice>
      <mc:Fallback>
        <control shapeId="1027" r:id="rId8" name="Label1"/>
      </mc:Fallback>
    </mc:AlternateContent>
    <mc:AlternateContent xmlns:mc="http://schemas.openxmlformats.org/markup-compatibility/2006">
      <mc:Choice Requires="x14">
        <control shapeId="1028" r:id="rId10" name="CheckBox1">
          <controlPr defaultSize="0" autoLine="0" r:id="rId11">
            <anchor moveWithCells="1">
              <from>
                <xdr:col>7</xdr:col>
                <xdr:colOff>161925</xdr:colOff>
                <xdr:row>31</xdr:row>
                <xdr:rowOff>95250</xdr:rowOff>
              </from>
              <to>
                <xdr:col>7</xdr:col>
                <xdr:colOff>1428750</xdr:colOff>
                <xdr:row>33</xdr:row>
                <xdr:rowOff>38100</xdr:rowOff>
              </to>
            </anchor>
          </controlPr>
        </control>
      </mc:Choice>
      <mc:Fallback>
        <control shapeId="1028" r:id="rId10" name="CheckBox1"/>
      </mc:Fallback>
    </mc:AlternateContent>
    <mc:AlternateContent xmlns:mc="http://schemas.openxmlformats.org/markup-compatibility/2006">
      <mc:Choice Requires="x14">
        <control shapeId="1032" r:id="rId12" name="CheckBox2">
          <controlPr defaultSize="0" autoLine="0" r:id="rId13">
            <anchor moveWithCells="1">
              <from>
                <xdr:col>7</xdr:col>
                <xdr:colOff>161925</xdr:colOff>
                <xdr:row>33</xdr:row>
                <xdr:rowOff>38100</xdr:rowOff>
              </from>
              <to>
                <xdr:col>7</xdr:col>
                <xdr:colOff>1428750</xdr:colOff>
                <xdr:row>34</xdr:row>
                <xdr:rowOff>171450</xdr:rowOff>
              </to>
            </anchor>
          </controlPr>
        </control>
      </mc:Choice>
      <mc:Fallback>
        <control shapeId="1032" r:id="rId12" name="CheckBox2"/>
      </mc:Fallback>
    </mc:AlternateContent>
    <mc:AlternateContent xmlns:mc="http://schemas.openxmlformats.org/markup-compatibility/2006">
      <mc:Choice Requires="x14">
        <control shapeId="1033" r:id="rId14" name="CheckBox3">
          <controlPr defaultSize="0" autoLine="0" r:id="rId15">
            <anchor moveWithCells="1">
              <from>
                <xdr:col>7</xdr:col>
                <xdr:colOff>161925</xdr:colOff>
                <xdr:row>34</xdr:row>
                <xdr:rowOff>161925</xdr:rowOff>
              </from>
              <to>
                <xdr:col>7</xdr:col>
                <xdr:colOff>1428750</xdr:colOff>
                <xdr:row>36</xdr:row>
                <xdr:rowOff>104775</xdr:rowOff>
              </to>
            </anchor>
          </controlPr>
        </control>
      </mc:Choice>
      <mc:Fallback>
        <control shapeId="1033" r:id="rId14" name="CheckBox3"/>
      </mc:Fallback>
    </mc:AlternateContent>
    <mc:AlternateContent xmlns:mc="http://schemas.openxmlformats.org/markup-compatibility/2006">
      <mc:Choice Requires="x14">
        <control shapeId="1034" r:id="rId16" name="CheckBox4">
          <controlPr defaultSize="0" autoLine="0" r:id="rId17">
            <anchor moveWithCells="1">
              <from>
                <xdr:col>7</xdr:col>
                <xdr:colOff>161925</xdr:colOff>
                <xdr:row>36</xdr:row>
                <xdr:rowOff>95250</xdr:rowOff>
              </from>
              <to>
                <xdr:col>7</xdr:col>
                <xdr:colOff>1428750</xdr:colOff>
                <xdr:row>38</xdr:row>
                <xdr:rowOff>38100</xdr:rowOff>
              </to>
            </anchor>
          </controlPr>
        </control>
      </mc:Choice>
      <mc:Fallback>
        <control shapeId="1034" r:id="rId16" name="CheckBox4"/>
      </mc:Fallback>
    </mc:AlternateContent>
    <mc:AlternateContent xmlns:mc="http://schemas.openxmlformats.org/markup-compatibility/2006">
      <mc:Choice Requires="x14">
        <control shapeId="1035" r:id="rId18" name="CheckBox5">
          <controlPr defaultSize="0" autoLine="0" r:id="rId19">
            <anchor moveWithCells="1">
              <from>
                <xdr:col>7</xdr:col>
                <xdr:colOff>161925</xdr:colOff>
                <xdr:row>38</xdr:row>
                <xdr:rowOff>38100</xdr:rowOff>
              </from>
              <to>
                <xdr:col>7</xdr:col>
                <xdr:colOff>1428750</xdr:colOff>
                <xdr:row>39</xdr:row>
                <xdr:rowOff>171450</xdr:rowOff>
              </to>
            </anchor>
          </controlPr>
        </control>
      </mc:Choice>
      <mc:Fallback>
        <control shapeId="1035" r:id="rId18" name="CheckBox5"/>
      </mc:Fallback>
    </mc:AlternateContent>
    <mc:AlternateContent xmlns:mc="http://schemas.openxmlformats.org/markup-compatibility/2006">
      <mc:Choice Requires="x14">
        <control shapeId="1036" r:id="rId20" name="CommandButton2">
          <controlPr defaultSize="0" autoLine="0" r:id="rId21">
            <anchor moveWithCells="1">
              <from>
                <xdr:col>7</xdr:col>
                <xdr:colOff>161925</xdr:colOff>
                <xdr:row>39</xdr:row>
                <xdr:rowOff>161925</xdr:rowOff>
              </from>
              <to>
                <xdr:col>7</xdr:col>
                <xdr:colOff>1428750</xdr:colOff>
                <xdr:row>41</xdr:row>
                <xdr:rowOff>161925</xdr:rowOff>
              </to>
            </anchor>
          </controlPr>
        </control>
      </mc:Choice>
      <mc:Fallback>
        <control shapeId="1036" r:id="rId20" name="CommandButton2"/>
      </mc:Fallback>
    </mc:AlternateContent>
    <mc:AlternateContent xmlns:mc="http://schemas.openxmlformats.org/markup-compatibility/2006">
      <mc:Choice Requires="x14">
        <control shapeId="1037" r:id="rId22" name="ToggleButton2">
          <controlPr defaultSize="0" autoLine="0" r:id="rId23">
            <anchor moveWithCells="1">
              <from>
                <xdr:col>7</xdr:col>
                <xdr:colOff>161925</xdr:colOff>
                <xdr:row>41</xdr:row>
                <xdr:rowOff>161925</xdr:rowOff>
              </from>
              <to>
                <xdr:col>7</xdr:col>
                <xdr:colOff>1428750</xdr:colOff>
                <xdr:row>43</xdr:row>
                <xdr:rowOff>95250</xdr:rowOff>
              </to>
            </anchor>
          </controlPr>
        </control>
      </mc:Choice>
      <mc:Fallback>
        <control shapeId="1037" r:id="rId22" name="Toggle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95947-9005-4472-9B6C-61499A6861A9}">
  <sheetPr codeName="Лист8"/>
  <dimension ref="A1:R758"/>
  <sheetViews>
    <sheetView workbookViewId="0">
      <pane ySplit="1" topLeftCell="A608" activePane="bottomLeft" state="frozen"/>
      <selection pane="bottomLeft" activeCell="R1" sqref="R1:R1048576"/>
    </sheetView>
  </sheetViews>
  <sheetFormatPr defaultRowHeight="15"/>
  <cols>
    <col min="1" max="1" width="66" style="34" bestFit="1" customWidth="1"/>
  </cols>
  <sheetData>
    <row r="1" spans="1:18" ht="61.5" thickBot="1">
      <c r="A1" s="32" t="s">
        <v>182</v>
      </c>
      <c r="B1" s="20" t="s">
        <v>597</v>
      </c>
      <c r="C1" s="21" t="s">
        <v>598</v>
      </c>
      <c r="D1" s="21" t="s">
        <v>599</v>
      </c>
      <c r="E1" s="21" t="s">
        <v>600</v>
      </c>
      <c r="F1" s="21" t="s">
        <v>601</v>
      </c>
      <c r="G1" s="21" t="s">
        <v>602</v>
      </c>
      <c r="H1" s="21" t="s">
        <v>603</v>
      </c>
      <c r="I1" s="21" t="s">
        <v>604</v>
      </c>
      <c r="J1" s="21" t="s">
        <v>605</v>
      </c>
      <c r="K1" s="21" t="s">
        <v>606</v>
      </c>
      <c r="L1" s="21" t="s">
        <v>607</v>
      </c>
      <c r="M1" s="21" t="s">
        <v>608</v>
      </c>
      <c r="N1" s="22" t="s">
        <v>609</v>
      </c>
      <c r="O1" s="20" t="s">
        <v>610</v>
      </c>
      <c r="R1" t="s">
        <v>3351</v>
      </c>
    </row>
    <row r="2" spans="1:18" ht="15.75" thickBot="1">
      <c r="A2" s="33" t="s">
        <v>183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4"/>
      <c r="O2" s="23"/>
      <c r="R2" t="e">
        <f t="shared" ref="R2:R65" si="0">J2/C2</f>
        <v>#DIV/0!</v>
      </c>
    </row>
    <row r="3" spans="1:18" ht="15.75" thickBot="1">
      <c r="A3" s="35" t="s">
        <v>184</v>
      </c>
      <c r="B3" s="23" t="s">
        <v>611</v>
      </c>
      <c r="C3" s="23">
        <v>5</v>
      </c>
      <c r="D3" s="23">
        <v>1</v>
      </c>
      <c r="E3" s="23">
        <v>4</v>
      </c>
      <c r="F3" s="23" t="s">
        <v>22</v>
      </c>
      <c r="G3" s="23">
        <v>1</v>
      </c>
      <c r="H3" s="23" t="s">
        <v>22</v>
      </c>
      <c r="I3" s="23" t="s">
        <v>22</v>
      </c>
      <c r="J3" s="23" t="s">
        <v>22</v>
      </c>
      <c r="K3" s="23"/>
      <c r="L3" s="23"/>
      <c r="M3" s="23"/>
      <c r="N3" s="24"/>
      <c r="O3" s="23" t="s">
        <v>22</v>
      </c>
      <c r="R3" t="e">
        <f t="shared" si="0"/>
        <v>#VALUE!</v>
      </c>
    </row>
    <row r="4" spans="1:18" ht="15.75" thickBot="1">
      <c r="A4" s="35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4"/>
      <c r="O4" s="23"/>
      <c r="R4" t="e">
        <f t="shared" si="0"/>
        <v>#DIV/0!</v>
      </c>
    </row>
    <row r="5" spans="1:18" ht="15.75" thickBot="1">
      <c r="A5" s="33" t="s">
        <v>185</v>
      </c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4"/>
      <c r="O5" s="23"/>
      <c r="R5" t="e">
        <f t="shared" si="0"/>
        <v>#DIV/0!</v>
      </c>
    </row>
    <row r="6" spans="1:18" ht="15.75" thickBot="1">
      <c r="A6" s="35" t="s">
        <v>186</v>
      </c>
      <c r="B6" s="23" t="s">
        <v>612</v>
      </c>
      <c r="C6" s="23">
        <v>2</v>
      </c>
      <c r="D6" s="23">
        <v>2</v>
      </c>
      <c r="E6" s="23" t="s">
        <v>22</v>
      </c>
      <c r="F6" s="23" t="s">
        <v>22</v>
      </c>
      <c r="G6" s="23">
        <v>1</v>
      </c>
      <c r="H6" s="23" t="s">
        <v>22</v>
      </c>
      <c r="I6" s="23" t="s">
        <v>22</v>
      </c>
      <c r="J6" s="23" t="s">
        <v>51</v>
      </c>
      <c r="K6" s="23"/>
      <c r="L6" s="23"/>
      <c r="M6" s="23"/>
      <c r="N6" s="24"/>
      <c r="O6" s="23" t="s">
        <v>22</v>
      </c>
      <c r="R6" t="e">
        <f t="shared" si="0"/>
        <v>#VALUE!</v>
      </c>
    </row>
    <row r="7" spans="1:18" ht="15.75" thickBot="1">
      <c r="A7" s="35" t="s">
        <v>187</v>
      </c>
      <c r="B7" s="23" t="s">
        <v>613</v>
      </c>
      <c r="C7" s="23">
        <v>3</v>
      </c>
      <c r="D7" s="23">
        <v>1</v>
      </c>
      <c r="E7" s="23">
        <v>2</v>
      </c>
      <c r="F7" s="23" t="s">
        <v>22</v>
      </c>
      <c r="G7" s="23" t="s">
        <v>22</v>
      </c>
      <c r="H7" s="23" t="s">
        <v>22</v>
      </c>
      <c r="I7" s="23" t="s">
        <v>22</v>
      </c>
      <c r="J7" s="23" t="s">
        <v>22</v>
      </c>
      <c r="K7" s="23"/>
      <c r="L7" s="23"/>
      <c r="M7" s="23"/>
      <c r="N7" s="24"/>
      <c r="O7" s="23" t="s">
        <v>22</v>
      </c>
      <c r="R7" t="e">
        <f t="shared" si="0"/>
        <v>#VALUE!</v>
      </c>
    </row>
    <row r="8" spans="1:18" ht="15.75" thickBot="1">
      <c r="A8" s="35" t="s">
        <v>188</v>
      </c>
      <c r="B8" s="23" t="s">
        <v>614</v>
      </c>
      <c r="C8" s="23">
        <v>4</v>
      </c>
      <c r="D8" s="23">
        <v>2</v>
      </c>
      <c r="E8" s="23">
        <v>2</v>
      </c>
      <c r="F8" s="23">
        <v>1</v>
      </c>
      <c r="G8" s="23">
        <v>1</v>
      </c>
      <c r="H8" s="23" t="s">
        <v>22</v>
      </c>
      <c r="I8" s="23" t="s">
        <v>22</v>
      </c>
      <c r="J8" s="23">
        <v>2</v>
      </c>
      <c r="K8" s="23"/>
      <c r="L8" s="23"/>
      <c r="M8" s="23"/>
      <c r="N8" s="24"/>
      <c r="O8" s="23">
        <v>372</v>
      </c>
      <c r="R8">
        <f t="shared" si="0"/>
        <v>0.5</v>
      </c>
    </row>
    <row r="9" spans="1:18" ht="15.75" thickBot="1">
      <c r="A9" s="35" t="s">
        <v>189</v>
      </c>
      <c r="B9" s="23" t="s">
        <v>615</v>
      </c>
      <c r="C9" s="23">
        <v>6</v>
      </c>
      <c r="D9" s="23">
        <v>3</v>
      </c>
      <c r="E9" s="23">
        <v>3</v>
      </c>
      <c r="F9" s="23">
        <v>2</v>
      </c>
      <c r="G9" s="23">
        <v>1</v>
      </c>
      <c r="H9" s="23">
        <v>1</v>
      </c>
      <c r="I9" s="23" t="s">
        <v>22</v>
      </c>
      <c r="J9" s="23">
        <v>8</v>
      </c>
      <c r="K9" s="23"/>
      <c r="L9" s="23"/>
      <c r="M9" s="23"/>
      <c r="N9" s="24"/>
      <c r="O9" s="23" t="s">
        <v>22</v>
      </c>
      <c r="R9">
        <f t="shared" si="0"/>
        <v>1.3333333333333333</v>
      </c>
    </row>
    <row r="10" spans="1:18" ht="15.75" thickBot="1">
      <c r="A10" s="35" t="s">
        <v>190</v>
      </c>
      <c r="B10" s="23" t="s">
        <v>616</v>
      </c>
      <c r="C10" s="23">
        <v>4</v>
      </c>
      <c r="D10" s="23">
        <v>1</v>
      </c>
      <c r="E10" s="23">
        <v>3</v>
      </c>
      <c r="F10" s="23" t="s">
        <v>22</v>
      </c>
      <c r="G10" s="23">
        <v>1</v>
      </c>
      <c r="H10" s="23" t="s">
        <v>22</v>
      </c>
      <c r="I10" s="23" t="s">
        <v>22</v>
      </c>
      <c r="J10" s="23">
        <v>4</v>
      </c>
      <c r="K10" s="23"/>
      <c r="L10" s="23"/>
      <c r="M10" s="23"/>
      <c r="N10" s="24"/>
      <c r="O10" s="23">
        <v>731</v>
      </c>
      <c r="R10">
        <f t="shared" si="0"/>
        <v>1</v>
      </c>
    </row>
    <row r="11" spans="1:18" ht="15.75" thickBot="1">
      <c r="A11" s="35" t="s">
        <v>191</v>
      </c>
      <c r="B11" s="23" t="s">
        <v>617</v>
      </c>
      <c r="C11" s="23">
        <v>5</v>
      </c>
      <c r="D11" s="23">
        <v>2</v>
      </c>
      <c r="E11" s="23"/>
      <c r="F11" s="23">
        <v>1</v>
      </c>
      <c r="G11" s="23">
        <v>1</v>
      </c>
      <c r="H11" s="23" t="s">
        <v>22</v>
      </c>
      <c r="I11" s="23" t="s">
        <v>22</v>
      </c>
      <c r="J11" s="23">
        <v>4</v>
      </c>
      <c r="K11" s="23"/>
      <c r="L11" s="23"/>
      <c r="M11" s="23"/>
      <c r="N11" s="24"/>
      <c r="O11" s="23" t="s">
        <v>22</v>
      </c>
      <c r="R11">
        <f t="shared" si="0"/>
        <v>0.8</v>
      </c>
    </row>
    <row r="12" spans="1:18" ht="15.75" thickBot="1">
      <c r="A12" s="35" t="s">
        <v>191</v>
      </c>
      <c r="B12" s="23" t="s">
        <v>618</v>
      </c>
      <c r="C12" s="23">
        <v>6</v>
      </c>
      <c r="D12" s="23">
        <v>2</v>
      </c>
      <c r="E12" s="23">
        <v>4</v>
      </c>
      <c r="F12" s="23">
        <v>2</v>
      </c>
      <c r="G12" s="23">
        <v>1</v>
      </c>
      <c r="H12" s="23" t="s">
        <v>22</v>
      </c>
      <c r="I12" s="23" t="s">
        <v>22</v>
      </c>
      <c r="J12" s="23">
        <v>10</v>
      </c>
      <c r="K12" s="23"/>
      <c r="L12" s="23"/>
      <c r="M12" s="23"/>
      <c r="N12" s="24"/>
      <c r="O12" s="23">
        <v>800</v>
      </c>
      <c r="R12">
        <f t="shared" si="0"/>
        <v>1.6666666666666667</v>
      </c>
    </row>
    <row r="13" spans="1:18" ht="15.75" thickBot="1">
      <c r="A13" s="35" t="s">
        <v>192</v>
      </c>
      <c r="B13" s="23" t="s">
        <v>619</v>
      </c>
      <c r="C13" s="23">
        <v>11</v>
      </c>
      <c r="D13" s="23">
        <v>2</v>
      </c>
      <c r="E13" s="23"/>
      <c r="F13" s="23">
        <v>2</v>
      </c>
      <c r="G13" s="23">
        <v>2</v>
      </c>
      <c r="H13" s="23" t="s">
        <v>22</v>
      </c>
      <c r="I13" s="23" t="s">
        <v>22</v>
      </c>
      <c r="J13" s="23">
        <v>22</v>
      </c>
      <c r="K13" s="23"/>
      <c r="L13" s="23"/>
      <c r="M13" s="23"/>
      <c r="N13" s="24"/>
      <c r="O13" s="23">
        <v>735</v>
      </c>
      <c r="R13">
        <f t="shared" si="0"/>
        <v>2</v>
      </c>
    </row>
    <row r="14" spans="1:18" ht="15.75" thickBot="1">
      <c r="A14" s="35" t="s">
        <v>193</v>
      </c>
      <c r="B14" s="23" t="s">
        <v>620</v>
      </c>
      <c r="C14" s="23">
        <v>6</v>
      </c>
      <c r="D14" s="23">
        <v>2</v>
      </c>
      <c r="E14" s="23"/>
      <c r="F14" s="23">
        <v>1</v>
      </c>
      <c r="G14" s="23">
        <v>1</v>
      </c>
      <c r="H14" s="23" t="s">
        <v>22</v>
      </c>
      <c r="I14" s="23" t="s">
        <v>22</v>
      </c>
      <c r="J14" s="23">
        <v>10</v>
      </c>
      <c r="K14" s="23"/>
      <c r="L14" s="23"/>
      <c r="M14" s="23"/>
      <c r="N14" s="24"/>
      <c r="O14" s="23" t="s">
        <v>22</v>
      </c>
      <c r="R14">
        <f t="shared" si="0"/>
        <v>1.6666666666666667</v>
      </c>
    </row>
    <row r="15" spans="1:18" ht="15.75" thickBot="1">
      <c r="A15" s="35" t="s">
        <v>194</v>
      </c>
      <c r="B15" s="23" t="s">
        <v>621</v>
      </c>
      <c r="C15" s="23">
        <v>3</v>
      </c>
      <c r="D15" s="23">
        <v>1</v>
      </c>
      <c r="E15" s="23">
        <v>2</v>
      </c>
      <c r="F15" s="23">
        <v>1</v>
      </c>
      <c r="G15" s="23">
        <v>1</v>
      </c>
      <c r="H15" s="23" t="s">
        <v>22</v>
      </c>
      <c r="I15" s="23" t="s">
        <v>22</v>
      </c>
      <c r="J15" s="23">
        <v>4</v>
      </c>
      <c r="K15" s="23"/>
      <c r="L15" s="23"/>
      <c r="M15" s="23"/>
      <c r="N15" s="24"/>
      <c r="O15" s="23">
        <v>796</v>
      </c>
      <c r="R15">
        <f t="shared" si="0"/>
        <v>1.3333333333333333</v>
      </c>
    </row>
    <row r="16" spans="1:18" ht="15.75" thickBot="1">
      <c r="A16" s="35" t="s">
        <v>195</v>
      </c>
      <c r="B16" s="23" t="s">
        <v>622</v>
      </c>
      <c r="C16" s="23">
        <v>3</v>
      </c>
      <c r="D16" s="23" t="s">
        <v>22</v>
      </c>
      <c r="E16" s="23">
        <v>3</v>
      </c>
      <c r="F16" s="23">
        <v>1</v>
      </c>
      <c r="G16" s="23">
        <v>1</v>
      </c>
      <c r="H16" s="23" t="s">
        <v>22</v>
      </c>
      <c r="I16" s="23" t="s">
        <v>22</v>
      </c>
      <c r="J16" s="23">
        <v>2</v>
      </c>
      <c r="K16" s="23"/>
      <c r="L16" s="23"/>
      <c r="M16" s="23"/>
      <c r="N16" s="24"/>
      <c r="O16" s="23" t="s">
        <v>22</v>
      </c>
      <c r="R16">
        <f t="shared" si="0"/>
        <v>0.66666666666666663</v>
      </c>
    </row>
    <row r="17" spans="1:18" ht="15.75" thickBot="1">
      <c r="A17" s="35" t="s">
        <v>196</v>
      </c>
      <c r="B17" s="23" t="s">
        <v>623</v>
      </c>
      <c r="C17" s="23">
        <v>4</v>
      </c>
      <c r="D17" s="23" t="s">
        <v>22</v>
      </c>
      <c r="E17" s="23"/>
      <c r="F17" s="23" t="s">
        <v>22</v>
      </c>
      <c r="G17" s="23">
        <v>4</v>
      </c>
      <c r="H17" s="23" t="s">
        <v>22</v>
      </c>
      <c r="I17" s="23" t="s">
        <v>22</v>
      </c>
      <c r="J17" s="23">
        <v>9</v>
      </c>
      <c r="K17" s="23"/>
      <c r="L17" s="23"/>
      <c r="M17" s="23"/>
      <c r="N17" s="24"/>
      <c r="O17" s="23" t="s">
        <v>22</v>
      </c>
      <c r="R17">
        <f t="shared" si="0"/>
        <v>2.25</v>
      </c>
    </row>
    <row r="18" spans="1:18" ht="15.75" thickBot="1">
      <c r="A18" s="35" t="s">
        <v>197</v>
      </c>
      <c r="B18" s="23" t="s">
        <v>624</v>
      </c>
      <c r="C18" s="23">
        <v>2</v>
      </c>
      <c r="D18" s="23">
        <v>1</v>
      </c>
      <c r="E18" s="23">
        <v>1</v>
      </c>
      <c r="F18" s="23">
        <v>1</v>
      </c>
      <c r="G18" s="23">
        <v>2</v>
      </c>
      <c r="H18" s="23" t="s">
        <v>22</v>
      </c>
      <c r="I18" s="23">
        <v>1</v>
      </c>
      <c r="J18" s="25">
        <v>4.5</v>
      </c>
      <c r="K18" s="23"/>
      <c r="L18" s="23"/>
      <c r="M18" s="23"/>
      <c r="N18" s="24"/>
      <c r="O18" s="23">
        <v>637</v>
      </c>
      <c r="R18">
        <f t="shared" si="0"/>
        <v>2.25</v>
      </c>
    </row>
    <row r="19" spans="1:18" ht="15.75" thickBot="1">
      <c r="A19" s="35" t="s">
        <v>198</v>
      </c>
      <c r="B19" s="23" t="s">
        <v>625</v>
      </c>
      <c r="C19" s="23">
        <v>10</v>
      </c>
      <c r="D19" s="23">
        <v>2</v>
      </c>
      <c r="E19" s="23">
        <v>8</v>
      </c>
      <c r="F19" s="23">
        <v>2</v>
      </c>
      <c r="G19" s="23">
        <v>1</v>
      </c>
      <c r="H19" s="23" t="s">
        <v>22</v>
      </c>
      <c r="I19" s="23" t="s">
        <v>22</v>
      </c>
      <c r="J19" s="23">
        <v>9</v>
      </c>
      <c r="K19" s="23"/>
      <c r="L19" s="23"/>
      <c r="M19" s="23"/>
      <c r="N19" s="24"/>
      <c r="O19" s="23">
        <v>383</v>
      </c>
      <c r="R19">
        <f t="shared" si="0"/>
        <v>0.9</v>
      </c>
    </row>
    <row r="20" spans="1:18" ht="15.75" thickBot="1">
      <c r="A20" s="35" t="s">
        <v>199</v>
      </c>
      <c r="B20" s="23" t="s">
        <v>626</v>
      </c>
      <c r="C20" s="23">
        <v>3</v>
      </c>
      <c r="D20" s="23">
        <v>1</v>
      </c>
      <c r="E20" s="23">
        <v>2</v>
      </c>
      <c r="F20" s="23">
        <v>1</v>
      </c>
      <c r="G20" s="23">
        <v>1</v>
      </c>
      <c r="H20" s="23" t="s">
        <v>22</v>
      </c>
      <c r="I20" s="23" t="s">
        <v>22</v>
      </c>
      <c r="J20" s="23">
        <v>4</v>
      </c>
      <c r="K20" s="23"/>
      <c r="L20" s="23"/>
      <c r="M20" s="23"/>
      <c r="N20" s="24"/>
      <c r="O20" s="23">
        <v>817</v>
      </c>
      <c r="R20">
        <f t="shared" si="0"/>
        <v>1.3333333333333333</v>
      </c>
    </row>
    <row r="21" spans="1:18" ht="15.75" thickBot="1">
      <c r="A21" s="35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4"/>
      <c r="O21" s="23"/>
      <c r="R21" t="e">
        <f t="shared" si="0"/>
        <v>#DIV/0!</v>
      </c>
    </row>
    <row r="22" spans="1:18" ht="15.75" thickBot="1">
      <c r="A22" s="35" t="s">
        <v>200</v>
      </c>
      <c r="B22" s="23" t="s">
        <v>627</v>
      </c>
      <c r="C22" s="23">
        <v>4</v>
      </c>
      <c r="D22" s="23">
        <v>1</v>
      </c>
      <c r="E22" s="23">
        <v>3</v>
      </c>
      <c r="F22" s="23">
        <v>1</v>
      </c>
      <c r="G22" s="23">
        <v>1</v>
      </c>
      <c r="H22" s="23" t="s">
        <v>22</v>
      </c>
      <c r="I22" s="23" t="s">
        <v>22</v>
      </c>
      <c r="J22" s="23">
        <v>4</v>
      </c>
      <c r="K22" s="23"/>
      <c r="L22" s="23"/>
      <c r="M22" s="23"/>
      <c r="N22" s="24"/>
      <c r="O22" s="23" t="s">
        <v>22</v>
      </c>
      <c r="R22">
        <f t="shared" si="0"/>
        <v>1</v>
      </c>
    </row>
    <row r="23" spans="1:18" ht="15.75" thickBot="1">
      <c r="A23" s="35" t="s">
        <v>201</v>
      </c>
      <c r="B23" s="23" t="s">
        <v>628</v>
      </c>
      <c r="C23" s="23">
        <v>3</v>
      </c>
      <c r="D23" s="23">
        <v>2</v>
      </c>
      <c r="E23" s="23">
        <v>1</v>
      </c>
      <c r="F23" s="23" t="s">
        <v>22</v>
      </c>
      <c r="G23" s="23">
        <v>1</v>
      </c>
      <c r="H23" s="23" t="s">
        <v>22</v>
      </c>
      <c r="I23" s="23" t="s">
        <v>22</v>
      </c>
      <c r="J23" s="23">
        <v>5</v>
      </c>
      <c r="K23" s="23"/>
      <c r="L23" s="23"/>
      <c r="M23" s="23"/>
      <c r="N23" s="24"/>
      <c r="O23" s="23">
        <v>386</v>
      </c>
      <c r="R23">
        <f t="shared" si="0"/>
        <v>1.6666666666666667</v>
      </c>
    </row>
    <row r="24" spans="1:18" ht="15.75" thickBot="1">
      <c r="A24" s="35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4"/>
      <c r="O24" s="23"/>
      <c r="R24" t="e">
        <f t="shared" si="0"/>
        <v>#DIV/0!</v>
      </c>
    </row>
    <row r="25" spans="1:18" ht="15.75" thickBot="1">
      <c r="A25" s="33" t="s">
        <v>202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4"/>
      <c r="O25" s="23"/>
      <c r="R25" t="e">
        <f t="shared" si="0"/>
        <v>#DIV/0!</v>
      </c>
    </row>
    <row r="26" spans="1:18" ht="15.75" thickBot="1">
      <c r="A26" s="35" t="s">
        <v>203</v>
      </c>
      <c r="B26" s="23" t="s">
        <v>624</v>
      </c>
      <c r="C26" s="23">
        <v>1</v>
      </c>
      <c r="D26" s="23" t="s">
        <v>22</v>
      </c>
      <c r="E26" s="23">
        <v>1</v>
      </c>
      <c r="F26" s="23">
        <v>1</v>
      </c>
      <c r="G26" s="23">
        <v>1</v>
      </c>
      <c r="H26" s="23" t="s">
        <v>22</v>
      </c>
      <c r="I26" s="23" t="s">
        <v>22</v>
      </c>
      <c r="J26" s="23">
        <v>4</v>
      </c>
      <c r="K26" s="23"/>
      <c r="L26" s="23"/>
      <c r="M26" s="23"/>
      <c r="N26" s="24"/>
      <c r="O26" s="23" t="s">
        <v>22</v>
      </c>
      <c r="R26">
        <f t="shared" si="0"/>
        <v>4</v>
      </c>
    </row>
    <row r="27" spans="1:18" ht="15.75" thickBot="1">
      <c r="A27" s="35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4"/>
      <c r="O27" s="23"/>
      <c r="R27" t="e">
        <f t="shared" si="0"/>
        <v>#DIV/0!</v>
      </c>
    </row>
    <row r="28" spans="1:18" ht="15.75" thickBot="1">
      <c r="A28" s="35" t="s">
        <v>4430</v>
      </c>
      <c r="B28" s="23" t="s">
        <v>629</v>
      </c>
      <c r="C28" s="23">
        <v>3</v>
      </c>
      <c r="D28" s="23">
        <v>2</v>
      </c>
      <c r="E28" s="23">
        <v>1</v>
      </c>
      <c r="F28" s="23">
        <v>1</v>
      </c>
      <c r="G28" s="23">
        <v>1</v>
      </c>
      <c r="H28" s="23" t="s">
        <v>22</v>
      </c>
      <c r="I28" s="23" t="s">
        <v>22</v>
      </c>
      <c r="J28" s="25">
        <v>4.5</v>
      </c>
      <c r="K28" s="23"/>
      <c r="L28" s="23"/>
      <c r="M28" s="23"/>
      <c r="N28" s="24"/>
      <c r="O28" s="23">
        <v>883</v>
      </c>
      <c r="R28">
        <f t="shared" si="0"/>
        <v>1.5</v>
      </c>
    </row>
    <row r="29" spans="1:18" ht="15.75" thickBot="1">
      <c r="A29" s="35" t="s">
        <v>4431</v>
      </c>
      <c r="B29" s="23" t="s">
        <v>630</v>
      </c>
      <c r="C29" s="23">
        <v>3</v>
      </c>
      <c r="D29" s="23">
        <v>1</v>
      </c>
      <c r="E29" s="23">
        <v>2</v>
      </c>
      <c r="F29" s="23">
        <v>1</v>
      </c>
      <c r="G29" s="23">
        <v>1</v>
      </c>
      <c r="H29" s="23" t="s">
        <v>22</v>
      </c>
      <c r="I29" s="23" t="s">
        <v>22</v>
      </c>
      <c r="J29" s="23">
        <v>5</v>
      </c>
      <c r="K29" s="23"/>
      <c r="L29" s="23"/>
      <c r="M29" s="23"/>
      <c r="N29" s="24"/>
      <c r="O29" s="23">
        <v>491</v>
      </c>
      <c r="R29">
        <f t="shared" si="0"/>
        <v>1.6666666666666667</v>
      </c>
    </row>
    <row r="30" spans="1:18" ht="15.75" thickBot="1">
      <c r="A30" s="35" t="s">
        <v>4431</v>
      </c>
      <c r="B30" s="23" t="s">
        <v>627</v>
      </c>
      <c r="C30" s="23">
        <v>7</v>
      </c>
      <c r="D30" s="23">
        <v>2</v>
      </c>
      <c r="E30" s="23">
        <v>5</v>
      </c>
      <c r="F30" s="23">
        <v>2</v>
      </c>
      <c r="G30" s="23">
        <v>1</v>
      </c>
      <c r="H30" s="23" t="s">
        <v>22</v>
      </c>
      <c r="I30" s="23" t="s">
        <v>22</v>
      </c>
      <c r="J30" s="23">
        <v>8</v>
      </c>
      <c r="K30" s="23"/>
      <c r="L30" s="23"/>
      <c r="M30" s="23"/>
      <c r="N30" s="24"/>
      <c r="O30" s="23">
        <v>522</v>
      </c>
      <c r="R30">
        <f t="shared" si="0"/>
        <v>1.1428571428571428</v>
      </c>
    </row>
    <row r="31" spans="1:18" ht="15.75" thickBot="1">
      <c r="A31" s="35" t="s">
        <v>4258</v>
      </c>
      <c r="B31" s="23" t="s">
        <v>627</v>
      </c>
      <c r="C31" s="23">
        <v>5</v>
      </c>
      <c r="D31" s="23">
        <v>2</v>
      </c>
      <c r="E31" s="23">
        <v>3</v>
      </c>
      <c r="F31" s="23">
        <v>2</v>
      </c>
      <c r="G31" s="23">
        <v>1</v>
      </c>
      <c r="H31" s="23" t="s">
        <v>22</v>
      </c>
      <c r="I31" s="23">
        <v>3</v>
      </c>
      <c r="J31" s="23">
        <v>8</v>
      </c>
      <c r="K31" s="23"/>
      <c r="L31" s="23"/>
      <c r="M31" s="23"/>
      <c r="N31" s="24"/>
      <c r="O31" s="23">
        <v>530</v>
      </c>
      <c r="R31">
        <f t="shared" si="0"/>
        <v>1.6</v>
      </c>
    </row>
    <row r="32" spans="1:18" ht="15.75" thickBot="1">
      <c r="A32" s="35" t="s">
        <v>4434</v>
      </c>
      <c r="B32" s="23" t="s">
        <v>627</v>
      </c>
      <c r="C32" s="23">
        <v>3</v>
      </c>
      <c r="D32" s="23">
        <v>1</v>
      </c>
      <c r="E32" s="23">
        <v>3</v>
      </c>
      <c r="F32" s="23" t="s">
        <v>22</v>
      </c>
      <c r="G32" s="23">
        <v>1</v>
      </c>
      <c r="H32" s="23" t="s">
        <v>22</v>
      </c>
      <c r="I32" s="23" t="s">
        <v>22</v>
      </c>
      <c r="J32" s="23">
        <v>4</v>
      </c>
      <c r="K32" s="23"/>
      <c r="L32" s="23"/>
      <c r="M32" s="23"/>
      <c r="N32" s="24"/>
      <c r="O32" s="23" t="s">
        <v>22</v>
      </c>
      <c r="R32">
        <f t="shared" si="0"/>
        <v>1.3333333333333333</v>
      </c>
    </row>
    <row r="33" spans="1:18" ht="15.75" thickBot="1">
      <c r="A33" s="35" t="s">
        <v>4436</v>
      </c>
      <c r="B33" s="23" t="s">
        <v>631</v>
      </c>
      <c r="C33" s="23">
        <v>10</v>
      </c>
      <c r="D33" s="23">
        <v>2</v>
      </c>
      <c r="E33" s="23">
        <v>8</v>
      </c>
      <c r="F33" s="23">
        <v>1</v>
      </c>
      <c r="G33" s="23">
        <v>1</v>
      </c>
      <c r="H33" s="23" t="s">
        <v>22</v>
      </c>
      <c r="I33" s="23" t="s">
        <v>22</v>
      </c>
      <c r="J33" s="23">
        <v>9</v>
      </c>
      <c r="K33" s="23"/>
      <c r="L33" s="23"/>
      <c r="M33" s="23"/>
      <c r="N33" s="24"/>
      <c r="O33" s="23">
        <v>327</v>
      </c>
      <c r="R33">
        <f t="shared" si="0"/>
        <v>0.9</v>
      </c>
    </row>
    <row r="34" spans="1:18" ht="15.75" thickBot="1">
      <c r="A34" s="35" t="s">
        <v>4304</v>
      </c>
      <c r="B34" s="23" t="s">
        <v>627</v>
      </c>
      <c r="C34" s="23">
        <v>7</v>
      </c>
      <c r="D34" s="23">
        <v>2</v>
      </c>
      <c r="E34" s="23">
        <v>5</v>
      </c>
      <c r="F34" s="23">
        <v>2</v>
      </c>
      <c r="G34" s="23">
        <v>2</v>
      </c>
      <c r="H34" s="23"/>
      <c r="I34" s="23">
        <v>2</v>
      </c>
      <c r="J34" s="23">
        <v>8</v>
      </c>
      <c r="K34" s="23"/>
      <c r="L34" s="23"/>
      <c r="M34" s="23"/>
      <c r="N34" s="24"/>
      <c r="O34" s="23">
        <v>526</v>
      </c>
      <c r="R34">
        <f t="shared" si="0"/>
        <v>1.1428571428571428</v>
      </c>
    </row>
    <row r="35" spans="1:18" ht="15.75" thickBot="1">
      <c r="A35" s="35" t="s">
        <v>4325</v>
      </c>
      <c r="B35" s="23" t="s">
        <v>632</v>
      </c>
      <c r="C35" s="23">
        <v>2</v>
      </c>
      <c r="D35" s="23" t="s">
        <v>22</v>
      </c>
      <c r="E35" s="23">
        <v>2</v>
      </c>
      <c r="F35" s="23">
        <v>1</v>
      </c>
      <c r="G35" s="23" t="s">
        <v>633</v>
      </c>
      <c r="H35" s="23" t="s">
        <v>22</v>
      </c>
      <c r="I35" s="23" t="s">
        <v>22</v>
      </c>
      <c r="J35" s="23">
        <v>4</v>
      </c>
      <c r="K35" s="23"/>
      <c r="L35" s="23"/>
      <c r="M35" s="23"/>
      <c r="N35" s="24"/>
      <c r="O35" s="23">
        <v>432</v>
      </c>
      <c r="R35">
        <f t="shared" si="0"/>
        <v>2</v>
      </c>
    </row>
    <row r="36" spans="1:18" ht="15.75" thickBot="1">
      <c r="A36" s="35" t="s">
        <v>4437</v>
      </c>
      <c r="B36" s="23" t="s">
        <v>627</v>
      </c>
      <c r="C36" s="23">
        <v>6</v>
      </c>
      <c r="D36" s="23">
        <v>1</v>
      </c>
      <c r="E36" s="23">
        <v>5</v>
      </c>
      <c r="F36" s="23">
        <v>1</v>
      </c>
      <c r="G36" s="23">
        <v>1</v>
      </c>
      <c r="H36" s="23" t="s">
        <v>22</v>
      </c>
      <c r="I36" s="23">
        <v>1</v>
      </c>
      <c r="J36" s="23">
        <v>4</v>
      </c>
      <c r="K36" s="23"/>
      <c r="L36" s="23"/>
      <c r="M36" s="23"/>
      <c r="N36" s="24"/>
      <c r="O36" s="23">
        <v>570</v>
      </c>
      <c r="R36">
        <f t="shared" si="0"/>
        <v>0.66666666666666663</v>
      </c>
    </row>
    <row r="37" spans="1:18" ht="15.75" thickBot="1">
      <c r="A37" s="35" t="s">
        <v>4345</v>
      </c>
      <c r="B37" s="23" t="s">
        <v>634</v>
      </c>
      <c r="C37" s="23">
        <v>5</v>
      </c>
      <c r="D37" s="23">
        <v>1</v>
      </c>
      <c r="E37" s="23">
        <v>4</v>
      </c>
      <c r="F37" s="23">
        <v>1</v>
      </c>
      <c r="G37" s="23" t="s">
        <v>22</v>
      </c>
      <c r="H37" s="23" t="s">
        <v>22</v>
      </c>
      <c r="I37" s="23" t="s">
        <v>22</v>
      </c>
      <c r="J37" s="23">
        <v>2</v>
      </c>
      <c r="K37" s="23"/>
      <c r="L37" s="23"/>
      <c r="M37" s="23"/>
      <c r="N37" s="24"/>
      <c r="O37" s="23" t="s">
        <v>22</v>
      </c>
      <c r="R37">
        <f t="shared" si="0"/>
        <v>0.4</v>
      </c>
    </row>
    <row r="38" spans="1:18" ht="15.75" thickBot="1">
      <c r="A38" s="35" t="s">
        <v>4438</v>
      </c>
      <c r="B38" s="23" t="s">
        <v>629</v>
      </c>
      <c r="C38" s="23">
        <v>9</v>
      </c>
      <c r="D38" s="23">
        <v>3</v>
      </c>
      <c r="E38" s="23">
        <v>6</v>
      </c>
      <c r="F38" s="23" t="s">
        <v>22</v>
      </c>
      <c r="G38" s="23">
        <v>1</v>
      </c>
      <c r="H38" s="23" t="s">
        <v>22</v>
      </c>
      <c r="I38" s="23" t="s">
        <v>22</v>
      </c>
      <c r="J38" s="23">
        <v>10</v>
      </c>
      <c r="K38" s="23"/>
      <c r="L38" s="23"/>
      <c r="M38" s="23"/>
      <c r="N38" s="24"/>
      <c r="O38" s="23">
        <v>875</v>
      </c>
      <c r="R38">
        <f t="shared" si="0"/>
        <v>1.1111111111111112</v>
      </c>
    </row>
    <row r="39" spans="1:18" ht="15.75" thickBot="1">
      <c r="A39" s="35" t="s">
        <v>4440</v>
      </c>
      <c r="B39" s="23" t="s">
        <v>635</v>
      </c>
      <c r="C39" s="23">
        <v>5</v>
      </c>
      <c r="D39" s="23">
        <v>1</v>
      </c>
      <c r="E39" s="23">
        <v>4</v>
      </c>
      <c r="F39" s="23">
        <v>1</v>
      </c>
      <c r="G39" s="23">
        <v>1</v>
      </c>
      <c r="H39" s="23" t="s">
        <v>22</v>
      </c>
      <c r="I39" s="23" t="s">
        <v>22</v>
      </c>
      <c r="J39" s="23">
        <v>8</v>
      </c>
      <c r="K39" s="23"/>
      <c r="L39" s="23"/>
      <c r="M39" s="23"/>
      <c r="N39" s="24"/>
      <c r="O39" s="23">
        <v>92</v>
      </c>
      <c r="R39">
        <f t="shared" si="0"/>
        <v>1.6</v>
      </c>
    </row>
    <row r="40" spans="1:18" ht="15.75" thickBot="1">
      <c r="A40" s="35" t="s">
        <v>4363</v>
      </c>
      <c r="B40" s="23" t="s">
        <v>634</v>
      </c>
      <c r="C40" s="23">
        <v>5</v>
      </c>
      <c r="D40" s="23">
        <v>1</v>
      </c>
      <c r="E40" s="23">
        <v>4</v>
      </c>
      <c r="F40" s="23">
        <v>1</v>
      </c>
      <c r="G40" s="23" t="s">
        <v>22</v>
      </c>
      <c r="H40" s="23" t="s">
        <v>22</v>
      </c>
      <c r="I40" s="23" t="s">
        <v>22</v>
      </c>
      <c r="J40" s="23">
        <v>2</v>
      </c>
      <c r="K40" s="23"/>
      <c r="L40" s="23"/>
      <c r="M40" s="23"/>
      <c r="N40" s="24"/>
      <c r="O40" s="23" t="s">
        <v>22</v>
      </c>
      <c r="R40">
        <f t="shared" si="0"/>
        <v>0.4</v>
      </c>
    </row>
    <row r="41" spans="1:18" ht="15.75" thickBot="1">
      <c r="A41" s="35" t="s">
        <v>4442</v>
      </c>
      <c r="B41" s="23" t="s">
        <v>636</v>
      </c>
      <c r="C41" s="23">
        <v>5</v>
      </c>
      <c r="D41" s="23">
        <v>2</v>
      </c>
      <c r="E41" s="23">
        <v>3</v>
      </c>
      <c r="F41" s="23">
        <v>1</v>
      </c>
      <c r="G41" s="23">
        <v>1</v>
      </c>
      <c r="H41" s="23" t="s">
        <v>22</v>
      </c>
      <c r="I41" s="23" t="s">
        <v>22</v>
      </c>
      <c r="J41" s="23">
        <v>4</v>
      </c>
      <c r="K41" s="23"/>
      <c r="L41" s="23"/>
      <c r="M41" s="23"/>
      <c r="N41" s="24"/>
      <c r="O41" s="23" t="s">
        <v>22</v>
      </c>
      <c r="R41">
        <f t="shared" si="0"/>
        <v>0.8</v>
      </c>
    </row>
    <row r="42" spans="1:18" ht="15.75" thickBot="1">
      <c r="A42" s="35" t="s">
        <v>4444</v>
      </c>
      <c r="B42" s="23" t="s">
        <v>627</v>
      </c>
      <c r="C42" s="23">
        <v>7</v>
      </c>
      <c r="D42" s="23">
        <v>2</v>
      </c>
      <c r="E42" s="23">
        <v>5</v>
      </c>
      <c r="F42" s="23">
        <v>1</v>
      </c>
      <c r="G42" s="23">
        <v>1</v>
      </c>
      <c r="H42" s="23" t="s">
        <v>22</v>
      </c>
      <c r="I42" s="23" t="s">
        <v>22</v>
      </c>
      <c r="J42" s="23">
        <v>8</v>
      </c>
      <c r="K42" s="23"/>
      <c r="L42" s="23"/>
      <c r="M42" s="23"/>
      <c r="N42" s="24"/>
      <c r="O42" s="23">
        <v>528</v>
      </c>
      <c r="R42">
        <f t="shared" si="0"/>
        <v>1.1428571428571428</v>
      </c>
    </row>
    <row r="43" spans="1:18" ht="15.75" thickBot="1">
      <c r="A43" s="35" t="s">
        <v>4332</v>
      </c>
      <c r="B43" s="23" t="s">
        <v>637</v>
      </c>
      <c r="C43" s="23">
        <v>4</v>
      </c>
      <c r="D43" s="23">
        <v>1</v>
      </c>
      <c r="E43" s="23">
        <v>3</v>
      </c>
      <c r="F43" s="23">
        <v>1</v>
      </c>
      <c r="G43" s="23">
        <v>1</v>
      </c>
      <c r="H43" s="23" t="s">
        <v>22</v>
      </c>
      <c r="I43" s="23" t="s">
        <v>22</v>
      </c>
      <c r="J43" s="23">
        <v>8</v>
      </c>
      <c r="K43" s="23"/>
      <c r="L43" s="23"/>
      <c r="M43" s="23"/>
      <c r="N43" s="24"/>
      <c r="O43" s="23">
        <v>435</v>
      </c>
      <c r="R43">
        <f t="shared" si="0"/>
        <v>2</v>
      </c>
    </row>
    <row r="44" spans="1:18" ht="15.75" thickBot="1">
      <c r="A44" s="35" t="s">
        <v>4256</v>
      </c>
      <c r="B44" s="23" t="s">
        <v>631</v>
      </c>
      <c r="C44" s="23">
        <v>2</v>
      </c>
      <c r="D44" s="23" t="s">
        <v>22</v>
      </c>
      <c r="E44" s="23">
        <v>2</v>
      </c>
      <c r="F44" s="23">
        <v>1</v>
      </c>
      <c r="G44" s="23">
        <v>1</v>
      </c>
      <c r="H44" s="23" t="s">
        <v>22</v>
      </c>
      <c r="I44" s="23" t="s">
        <v>22</v>
      </c>
      <c r="J44" s="23">
        <v>5</v>
      </c>
      <c r="K44" s="23"/>
      <c r="L44" s="23"/>
      <c r="M44" s="23"/>
      <c r="N44" s="24"/>
      <c r="O44" s="23">
        <v>331</v>
      </c>
      <c r="R44">
        <f t="shared" si="0"/>
        <v>2.5</v>
      </c>
    </row>
    <row r="45" spans="1:18" ht="15.75" thickBot="1">
      <c r="A45" s="35" t="s">
        <v>4244</v>
      </c>
      <c r="B45" s="23" t="s">
        <v>627</v>
      </c>
      <c r="C45" s="23">
        <v>7</v>
      </c>
      <c r="D45" s="23">
        <v>2</v>
      </c>
      <c r="E45" s="23">
        <v>5</v>
      </c>
      <c r="F45" s="23">
        <v>2</v>
      </c>
      <c r="G45" s="23">
        <v>2</v>
      </c>
      <c r="H45" s="23" t="s">
        <v>22</v>
      </c>
      <c r="I45" s="23">
        <v>2</v>
      </c>
      <c r="J45" s="23">
        <v>18</v>
      </c>
      <c r="K45" s="23"/>
      <c r="L45" s="23"/>
      <c r="M45" s="23"/>
      <c r="N45" s="24"/>
      <c r="O45" s="23" t="s">
        <v>22</v>
      </c>
      <c r="R45">
        <f t="shared" si="0"/>
        <v>2.5714285714285716</v>
      </c>
    </row>
    <row r="46" spans="1:18" ht="15.75" thickBot="1">
      <c r="A46" s="35" t="s">
        <v>4354</v>
      </c>
      <c r="B46" s="23" t="s">
        <v>638</v>
      </c>
      <c r="C46" s="23">
        <v>8</v>
      </c>
      <c r="D46" s="23">
        <v>3</v>
      </c>
      <c r="E46" s="23">
        <v>5</v>
      </c>
      <c r="F46" s="23">
        <v>1</v>
      </c>
      <c r="G46" s="23">
        <v>1</v>
      </c>
      <c r="H46" s="23" t="s">
        <v>22</v>
      </c>
      <c r="I46" s="23" t="s">
        <v>22</v>
      </c>
      <c r="J46" s="23">
        <v>9</v>
      </c>
      <c r="K46" s="23"/>
      <c r="L46" s="23"/>
      <c r="M46" s="23"/>
      <c r="N46" s="24"/>
      <c r="O46" s="23">
        <v>380</v>
      </c>
      <c r="R46">
        <f t="shared" si="0"/>
        <v>1.125</v>
      </c>
    </row>
    <row r="47" spans="1:18" ht="15.75" thickBot="1">
      <c r="A47" s="35" t="s">
        <v>4227</v>
      </c>
      <c r="B47" s="23" t="s">
        <v>627</v>
      </c>
      <c r="C47" s="23">
        <v>3</v>
      </c>
      <c r="D47" s="23" t="s">
        <v>22</v>
      </c>
      <c r="E47" s="23">
        <v>3</v>
      </c>
      <c r="F47" s="23">
        <v>1</v>
      </c>
      <c r="G47" s="23">
        <v>1</v>
      </c>
      <c r="H47" s="23" t="s">
        <v>22</v>
      </c>
      <c r="I47" s="23" t="s">
        <v>22</v>
      </c>
      <c r="J47" s="23" t="s">
        <v>639</v>
      </c>
      <c r="K47" s="23"/>
      <c r="L47" s="23"/>
      <c r="M47" s="23"/>
      <c r="N47" s="24"/>
      <c r="O47" s="23" t="s">
        <v>22</v>
      </c>
      <c r="R47" t="e">
        <f t="shared" si="0"/>
        <v>#VALUE!</v>
      </c>
    </row>
    <row r="48" spans="1:18" ht="15.75" thickBot="1">
      <c r="A48" s="35" t="s">
        <v>4445</v>
      </c>
      <c r="B48" s="23" t="s">
        <v>631</v>
      </c>
      <c r="C48" s="23">
        <v>6</v>
      </c>
      <c r="D48" s="23">
        <v>2</v>
      </c>
      <c r="E48" s="23">
        <v>4</v>
      </c>
      <c r="F48" s="23">
        <v>1</v>
      </c>
      <c r="G48" s="23">
        <v>1</v>
      </c>
      <c r="H48" s="23" t="s">
        <v>22</v>
      </c>
      <c r="I48" s="23" t="s">
        <v>22</v>
      </c>
      <c r="J48" s="23">
        <v>9</v>
      </c>
      <c r="K48" s="23"/>
      <c r="L48" s="23"/>
      <c r="M48" s="23"/>
      <c r="N48" s="24"/>
      <c r="O48" s="23">
        <v>333</v>
      </c>
      <c r="R48">
        <f t="shared" si="0"/>
        <v>1.5</v>
      </c>
    </row>
    <row r="49" spans="1:18" ht="15.75" thickBot="1">
      <c r="A49" s="35" t="s">
        <v>4272</v>
      </c>
      <c r="B49" s="23" t="s">
        <v>631</v>
      </c>
      <c r="C49" s="23">
        <v>7</v>
      </c>
      <c r="D49" s="23">
        <v>2</v>
      </c>
      <c r="E49" s="23">
        <v>5</v>
      </c>
      <c r="F49" s="23">
        <v>1</v>
      </c>
      <c r="G49" s="23" t="s">
        <v>22</v>
      </c>
      <c r="H49" s="23" t="s">
        <v>22</v>
      </c>
      <c r="I49" s="23" t="s">
        <v>22</v>
      </c>
      <c r="J49" s="25">
        <v>4.5</v>
      </c>
      <c r="K49" s="23"/>
      <c r="L49" s="23"/>
      <c r="M49" s="23"/>
      <c r="N49" s="24"/>
      <c r="O49" s="23">
        <v>344</v>
      </c>
      <c r="R49">
        <f t="shared" si="0"/>
        <v>0.6428571428571429</v>
      </c>
    </row>
    <row r="50" spans="1:18" ht="15.75" thickBot="1">
      <c r="A50" s="35" t="s">
        <v>4446</v>
      </c>
      <c r="B50" s="23" t="s">
        <v>629</v>
      </c>
      <c r="C50" s="23">
        <v>6</v>
      </c>
      <c r="D50" s="23">
        <v>1</v>
      </c>
      <c r="E50" s="23">
        <v>5</v>
      </c>
      <c r="F50" s="23">
        <v>1</v>
      </c>
      <c r="G50" s="23" t="s">
        <v>22</v>
      </c>
      <c r="H50" s="23" t="s">
        <v>22</v>
      </c>
      <c r="I50" s="23">
        <v>1</v>
      </c>
      <c r="J50" s="23">
        <v>9</v>
      </c>
      <c r="K50" s="23"/>
      <c r="L50" s="23"/>
      <c r="M50" s="23"/>
      <c r="N50" s="24"/>
      <c r="O50" s="23">
        <v>394</v>
      </c>
      <c r="R50">
        <f t="shared" si="0"/>
        <v>1.5</v>
      </c>
    </row>
    <row r="51" spans="1:18" ht="15.75" thickBot="1">
      <c r="A51" s="35" t="s">
        <v>4447</v>
      </c>
      <c r="B51" s="23" t="s">
        <v>636</v>
      </c>
      <c r="C51" s="23">
        <v>2</v>
      </c>
      <c r="D51" s="23">
        <v>2</v>
      </c>
      <c r="E51" s="23" t="s">
        <v>22</v>
      </c>
      <c r="F51" s="23">
        <v>1</v>
      </c>
      <c r="G51" s="23">
        <v>1</v>
      </c>
      <c r="H51" s="23" t="s">
        <v>22</v>
      </c>
      <c r="I51" s="23" t="s">
        <v>22</v>
      </c>
      <c r="J51" s="25">
        <v>4.5</v>
      </c>
      <c r="K51" s="23"/>
      <c r="L51" s="23"/>
      <c r="M51" s="23"/>
      <c r="N51" s="24"/>
      <c r="O51" s="23" t="s">
        <v>22</v>
      </c>
      <c r="R51">
        <f t="shared" si="0"/>
        <v>2.25</v>
      </c>
    </row>
    <row r="52" spans="1:18" ht="15.75" thickBot="1">
      <c r="A52" s="35" t="s">
        <v>4449</v>
      </c>
      <c r="B52" s="23" t="s">
        <v>636</v>
      </c>
      <c r="C52" s="23">
        <v>3</v>
      </c>
      <c r="D52" s="23">
        <v>2</v>
      </c>
      <c r="E52" s="23">
        <v>1</v>
      </c>
      <c r="F52" s="23">
        <v>1</v>
      </c>
      <c r="G52" s="23">
        <v>1</v>
      </c>
      <c r="H52" s="23" t="s">
        <v>22</v>
      </c>
      <c r="I52" s="23" t="s">
        <v>22</v>
      </c>
      <c r="J52" s="23">
        <v>1</v>
      </c>
      <c r="K52" s="23"/>
      <c r="L52" s="23"/>
      <c r="M52" s="23"/>
      <c r="N52" s="24"/>
      <c r="O52" s="23">
        <v>281</v>
      </c>
      <c r="R52">
        <f t="shared" si="0"/>
        <v>0.33333333333333331</v>
      </c>
    </row>
    <row r="53" spans="1:18" ht="15.75" thickBot="1">
      <c r="A53" s="35" t="s">
        <v>4353</v>
      </c>
      <c r="B53" s="23" t="s">
        <v>627</v>
      </c>
      <c r="C53" s="23">
        <v>6</v>
      </c>
      <c r="D53" s="23">
        <v>1</v>
      </c>
      <c r="E53" s="23">
        <v>5</v>
      </c>
      <c r="F53" s="23">
        <v>1</v>
      </c>
      <c r="G53" s="23">
        <v>1</v>
      </c>
      <c r="H53" s="23" t="s">
        <v>22</v>
      </c>
      <c r="I53" s="23" t="s">
        <v>22</v>
      </c>
      <c r="J53" s="23">
        <v>8</v>
      </c>
      <c r="K53" s="23"/>
      <c r="L53" s="23"/>
      <c r="M53" s="23"/>
      <c r="N53" s="24"/>
      <c r="O53" s="23">
        <v>549</v>
      </c>
      <c r="R53">
        <f t="shared" si="0"/>
        <v>1.3333333333333333</v>
      </c>
    </row>
    <row r="54" spans="1:18" ht="15.75" thickBot="1">
      <c r="A54" s="35" t="s">
        <v>4450</v>
      </c>
      <c r="B54" s="23" t="s">
        <v>640</v>
      </c>
      <c r="C54" s="23">
        <v>4</v>
      </c>
      <c r="D54" s="23">
        <v>1</v>
      </c>
      <c r="E54" s="23">
        <v>3</v>
      </c>
      <c r="F54" s="23">
        <v>1</v>
      </c>
      <c r="G54" s="23">
        <v>1</v>
      </c>
      <c r="H54" s="23" t="s">
        <v>22</v>
      </c>
      <c r="I54" s="23" t="s">
        <v>22</v>
      </c>
      <c r="J54" s="23" t="s">
        <v>22</v>
      </c>
      <c r="K54" s="23"/>
      <c r="L54" s="23"/>
      <c r="M54" s="23"/>
      <c r="N54" s="24"/>
      <c r="O54" s="23" t="s">
        <v>22</v>
      </c>
      <c r="R54" t="e">
        <f t="shared" si="0"/>
        <v>#VALUE!</v>
      </c>
    </row>
    <row r="55" spans="1:18" ht="15.75" thickBot="1">
      <c r="A55" s="35" t="s">
        <v>4375</v>
      </c>
      <c r="B55" s="23" t="s">
        <v>641</v>
      </c>
      <c r="C55" s="23">
        <v>7</v>
      </c>
      <c r="D55" s="23">
        <v>2</v>
      </c>
      <c r="E55" s="23">
        <v>5</v>
      </c>
      <c r="F55" s="23">
        <v>1</v>
      </c>
      <c r="G55" s="23">
        <v>1</v>
      </c>
      <c r="H55" s="23" t="s">
        <v>22</v>
      </c>
      <c r="I55" s="23" t="s">
        <v>22</v>
      </c>
      <c r="J55" s="23" t="s">
        <v>51</v>
      </c>
      <c r="K55" s="23"/>
      <c r="L55" s="23"/>
      <c r="M55" s="23"/>
      <c r="N55" s="24"/>
      <c r="O55" s="23">
        <v>147</v>
      </c>
      <c r="R55" t="e">
        <f t="shared" si="0"/>
        <v>#VALUE!</v>
      </c>
    </row>
    <row r="56" spans="1:18" ht="15.75" thickBot="1">
      <c r="A56" s="35" t="s">
        <v>4330</v>
      </c>
      <c r="B56" s="23" t="s">
        <v>627</v>
      </c>
      <c r="C56" s="23">
        <v>10</v>
      </c>
      <c r="D56" s="23">
        <v>1</v>
      </c>
      <c r="E56" s="23">
        <v>9</v>
      </c>
      <c r="F56" s="23">
        <v>1</v>
      </c>
      <c r="G56" s="23">
        <v>2</v>
      </c>
      <c r="H56" s="23" t="s">
        <v>22</v>
      </c>
      <c r="I56" s="23" t="s">
        <v>22</v>
      </c>
      <c r="J56" s="23">
        <v>8</v>
      </c>
      <c r="K56" s="23"/>
      <c r="L56" s="23"/>
      <c r="M56" s="23"/>
      <c r="N56" s="24"/>
      <c r="O56" s="23" t="s">
        <v>22</v>
      </c>
      <c r="R56">
        <f t="shared" si="0"/>
        <v>0.8</v>
      </c>
    </row>
    <row r="57" spans="1:18" ht="15.75" thickBot="1">
      <c r="A57" s="35" t="s">
        <v>4451</v>
      </c>
      <c r="B57" s="23" t="s">
        <v>627</v>
      </c>
      <c r="C57" s="23">
        <v>2</v>
      </c>
      <c r="D57" s="23">
        <v>2</v>
      </c>
      <c r="E57" s="23">
        <v>1</v>
      </c>
      <c r="F57" s="23">
        <v>1</v>
      </c>
      <c r="G57" s="23" t="s">
        <v>22</v>
      </c>
      <c r="H57" s="23">
        <v>2</v>
      </c>
      <c r="I57" s="23">
        <v>4</v>
      </c>
      <c r="J57" s="23"/>
      <c r="K57" s="23"/>
      <c r="L57" s="23"/>
      <c r="M57" s="23"/>
      <c r="N57" s="24"/>
      <c r="O57" s="23">
        <v>520</v>
      </c>
      <c r="R57">
        <f t="shared" si="0"/>
        <v>0</v>
      </c>
    </row>
    <row r="58" spans="1:18" ht="15.75" thickBot="1">
      <c r="A58" s="35" t="s">
        <v>4288</v>
      </c>
      <c r="B58" s="23" t="s">
        <v>627</v>
      </c>
      <c r="C58" s="23">
        <v>8</v>
      </c>
      <c r="D58" s="23">
        <v>2</v>
      </c>
      <c r="E58" s="23">
        <v>6</v>
      </c>
      <c r="F58" s="23">
        <v>1</v>
      </c>
      <c r="G58" s="23">
        <v>1</v>
      </c>
      <c r="H58" s="23" t="s">
        <v>22</v>
      </c>
      <c r="I58" s="23">
        <v>1</v>
      </c>
      <c r="J58" s="23">
        <v>4</v>
      </c>
      <c r="K58" s="23"/>
      <c r="L58" s="23"/>
      <c r="M58" s="23"/>
      <c r="N58" s="24"/>
      <c r="O58" s="23">
        <v>535</v>
      </c>
      <c r="R58">
        <f t="shared" si="0"/>
        <v>0.5</v>
      </c>
    </row>
    <row r="59" spans="1:18" ht="15.75" thickBot="1">
      <c r="A59" s="35" t="s">
        <v>4355</v>
      </c>
      <c r="B59" s="23" t="s">
        <v>636</v>
      </c>
      <c r="C59" s="23">
        <v>7</v>
      </c>
      <c r="D59" s="23">
        <v>2</v>
      </c>
      <c r="E59" s="23">
        <v>5</v>
      </c>
      <c r="F59" s="23">
        <v>1</v>
      </c>
      <c r="G59" s="23">
        <v>1</v>
      </c>
      <c r="H59" s="23" t="s">
        <v>22</v>
      </c>
      <c r="I59" s="23" t="s">
        <v>22</v>
      </c>
      <c r="J59" s="23">
        <v>8</v>
      </c>
      <c r="K59" s="23"/>
      <c r="L59" s="23"/>
      <c r="M59" s="23"/>
      <c r="N59" s="24"/>
      <c r="O59" s="23">
        <v>321</v>
      </c>
      <c r="R59">
        <f t="shared" si="0"/>
        <v>1.1428571428571428</v>
      </c>
    </row>
    <row r="60" spans="1:18" ht="15.75" thickBot="1">
      <c r="A60" s="35" t="s">
        <v>4347</v>
      </c>
      <c r="B60" s="23" t="s">
        <v>642</v>
      </c>
      <c r="C60" s="23">
        <v>5</v>
      </c>
      <c r="D60" s="23">
        <v>2</v>
      </c>
      <c r="E60" s="23">
        <v>5</v>
      </c>
      <c r="F60" s="23">
        <v>3</v>
      </c>
      <c r="G60" s="23">
        <v>2</v>
      </c>
      <c r="H60" s="23" t="s">
        <v>22</v>
      </c>
      <c r="I60" s="23">
        <v>2</v>
      </c>
      <c r="J60" s="23">
        <v>10</v>
      </c>
      <c r="K60" s="23"/>
      <c r="L60" s="23"/>
      <c r="M60" s="23"/>
      <c r="N60" s="24"/>
      <c r="O60" s="23">
        <v>532</v>
      </c>
      <c r="R60">
        <f t="shared" si="0"/>
        <v>2</v>
      </c>
    </row>
    <row r="61" spans="1:18" ht="15.75" thickBot="1">
      <c r="A61" s="35" t="s">
        <v>4263</v>
      </c>
      <c r="B61" s="23" t="s">
        <v>629</v>
      </c>
      <c r="C61" s="23">
        <v>7</v>
      </c>
      <c r="D61" s="23">
        <v>1</v>
      </c>
      <c r="E61" s="23">
        <v>6</v>
      </c>
      <c r="F61" s="23">
        <v>1</v>
      </c>
      <c r="G61" s="23">
        <v>1</v>
      </c>
      <c r="H61" s="23" t="s">
        <v>22</v>
      </c>
      <c r="I61" s="23" t="s">
        <v>22</v>
      </c>
      <c r="J61" s="23">
        <v>10</v>
      </c>
      <c r="K61" s="23"/>
      <c r="L61" s="23"/>
      <c r="M61" s="23"/>
      <c r="N61" s="24"/>
      <c r="O61" s="23">
        <v>892</v>
      </c>
      <c r="R61">
        <f t="shared" si="0"/>
        <v>1.4285714285714286</v>
      </c>
    </row>
    <row r="62" spans="1:18" ht="15.75" thickBot="1">
      <c r="A62" s="35" t="s">
        <v>4452</v>
      </c>
      <c r="B62" s="23" t="s">
        <v>643</v>
      </c>
      <c r="C62" s="23">
        <v>4</v>
      </c>
      <c r="D62" s="23">
        <v>2</v>
      </c>
      <c r="E62" s="23">
        <v>2</v>
      </c>
      <c r="F62" s="23">
        <v>1</v>
      </c>
      <c r="G62" s="23">
        <v>1</v>
      </c>
      <c r="H62" s="23" t="s">
        <v>22</v>
      </c>
      <c r="I62" s="23">
        <v>2</v>
      </c>
      <c r="J62" s="23">
        <v>6</v>
      </c>
      <c r="K62" s="23"/>
      <c r="L62" s="23"/>
      <c r="M62" s="23"/>
      <c r="N62" s="24"/>
      <c r="O62" s="23">
        <v>769</v>
      </c>
      <c r="R62">
        <f t="shared" si="0"/>
        <v>1.5</v>
      </c>
    </row>
    <row r="63" spans="1:18" ht="15.75" thickBot="1">
      <c r="A63" s="35" t="s">
        <v>4340</v>
      </c>
      <c r="B63" s="23" t="s">
        <v>644</v>
      </c>
      <c r="C63" s="23">
        <v>4</v>
      </c>
      <c r="D63" s="23">
        <v>1</v>
      </c>
      <c r="E63" s="23">
        <v>3</v>
      </c>
      <c r="F63" s="23">
        <v>1</v>
      </c>
      <c r="G63" s="23">
        <v>1</v>
      </c>
      <c r="H63" s="23">
        <v>1</v>
      </c>
      <c r="I63" s="23">
        <v>2</v>
      </c>
      <c r="J63" s="23">
        <v>8</v>
      </c>
      <c r="K63" s="23"/>
      <c r="L63" s="23"/>
      <c r="M63" s="23"/>
      <c r="N63" s="24"/>
      <c r="O63" s="23" t="s">
        <v>22</v>
      </c>
      <c r="R63">
        <f t="shared" si="0"/>
        <v>2</v>
      </c>
    </row>
    <row r="64" spans="1:18" ht="15.75" thickBot="1">
      <c r="A64" s="35" t="s">
        <v>4453</v>
      </c>
      <c r="B64" s="23" t="s">
        <v>634</v>
      </c>
      <c r="C64" s="23">
        <v>2</v>
      </c>
      <c r="D64" s="23">
        <v>1</v>
      </c>
      <c r="E64" s="23">
        <v>1</v>
      </c>
      <c r="F64" s="23" t="s">
        <v>22</v>
      </c>
      <c r="G64" s="23">
        <v>1</v>
      </c>
      <c r="H64" s="23" t="s">
        <v>22</v>
      </c>
      <c r="I64" s="23" t="s">
        <v>22</v>
      </c>
      <c r="J64" s="23">
        <v>2</v>
      </c>
      <c r="K64" s="23"/>
      <c r="L64" s="23"/>
      <c r="M64" s="23"/>
      <c r="N64" s="24"/>
      <c r="O64" s="23">
        <v>262</v>
      </c>
      <c r="R64">
        <f t="shared" si="0"/>
        <v>1</v>
      </c>
    </row>
    <row r="65" spans="1:18" ht="15.75" thickBot="1">
      <c r="A65" s="35" t="s">
        <v>4327</v>
      </c>
      <c r="B65" s="23" t="s">
        <v>627</v>
      </c>
      <c r="C65" s="23">
        <v>1</v>
      </c>
      <c r="D65" s="23" t="s">
        <v>22</v>
      </c>
      <c r="E65" s="23">
        <v>1</v>
      </c>
      <c r="F65" s="23">
        <v>1</v>
      </c>
      <c r="G65" s="23">
        <v>1</v>
      </c>
      <c r="H65" s="23" t="s">
        <v>22</v>
      </c>
      <c r="I65" s="23">
        <v>1</v>
      </c>
      <c r="J65" s="23">
        <v>4</v>
      </c>
      <c r="K65" s="23"/>
      <c r="L65" s="23"/>
      <c r="M65" s="23"/>
      <c r="N65" s="24"/>
      <c r="O65" s="23">
        <v>569</v>
      </c>
      <c r="R65">
        <f t="shared" si="0"/>
        <v>4</v>
      </c>
    </row>
    <row r="66" spans="1:18" ht="15.75" thickBot="1">
      <c r="A66" s="35" t="s">
        <v>4454</v>
      </c>
      <c r="B66" s="23" t="s">
        <v>627</v>
      </c>
      <c r="C66" s="23">
        <v>3</v>
      </c>
      <c r="D66" s="23">
        <v>2</v>
      </c>
      <c r="E66" s="23">
        <v>1</v>
      </c>
      <c r="F66" s="23">
        <v>1</v>
      </c>
      <c r="G66" s="23">
        <v>1</v>
      </c>
      <c r="H66" s="23" t="s">
        <v>22</v>
      </c>
      <c r="I66" s="23" t="s">
        <v>22</v>
      </c>
      <c r="J66" s="23">
        <v>3</v>
      </c>
      <c r="K66" s="23"/>
      <c r="L66" s="23"/>
      <c r="M66" s="23"/>
      <c r="N66" s="24"/>
      <c r="O66" s="23">
        <v>533</v>
      </c>
      <c r="R66">
        <f t="shared" ref="R66:R129" si="1">J66/C66</f>
        <v>1</v>
      </c>
    </row>
    <row r="67" spans="1:18" ht="15.75" thickBot="1">
      <c r="A67" s="33" t="s">
        <v>4456</v>
      </c>
      <c r="B67" s="23" t="s">
        <v>645</v>
      </c>
      <c r="C67" s="23">
        <v>13</v>
      </c>
      <c r="D67" s="23">
        <v>5</v>
      </c>
      <c r="E67" s="23">
        <v>8</v>
      </c>
      <c r="F67" s="23">
        <v>2</v>
      </c>
      <c r="G67" s="23">
        <v>2</v>
      </c>
      <c r="H67" s="23" t="s">
        <v>22</v>
      </c>
      <c r="I67" s="23">
        <v>3</v>
      </c>
      <c r="J67" s="23">
        <v>18</v>
      </c>
      <c r="K67" s="23"/>
      <c r="L67" s="23"/>
      <c r="M67" s="23"/>
      <c r="N67" s="24"/>
      <c r="O67" s="23" t="s">
        <v>646</v>
      </c>
      <c r="R67">
        <f t="shared" si="1"/>
        <v>1.3846153846153846</v>
      </c>
    </row>
    <row r="68" spans="1:18" ht="15.75" thickBot="1">
      <c r="A68" s="35" t="s">
        <v>4285</v>
      </c>
      <c r="B68" s="23" t="s">
        <v>647</v>
      </c>
      <c r="C68" s="23">
        <v>2</v>
      </c>
      <c r="D68" s="23">
        <v>2</v>
      </c>
      <c r="E68" s="23" t="s">
        <v>22</v>
      </c>
      <c r="F68" s="23">
        <v>1</v>
      </c>
      <c r="G68" s="23" t="s">
        <v>22</v>
      </c>
      <c r="H68" s="23" t="s">
        <v>22</v>
      </c>
      <c r="I68" s="23" t="s">
        <v>22</v>
      </c>
      <c r="J68" s="23" t="s">
        <v>22</v>
      </c>
      <c r="K68" s="23"/>
      <c r="L68" s="23"/>
      <c r="M68" s="23"/>
      <c r="N68" s="24"/>
      <c r="O68" s="23">
        <v>434</v>
      </c>
      <c r="R68" t="e">
        <f t="shared" si="1"/>
        <v>#VALUE!</v>
      </c>
    </row>
    <row r="69" spans="1:18" ht="15.75" thickBot="1">
      <c r="A69" s="35" t="s">
        <v>4457</v>
      </c>
      <c r="B69" s="23" t="s">
        <v>641</v>
      </c>
      <c r="C69" s="23">
        <v>8</v>
      </c>
      <c r="D69" s="23" t="s">
        <v>648</v>
      </c>
      <c r="E69" s="23" t="s">
        <v>649</v>
      </c>
      <c r="F69" s="23">
        <v>1</v>
      </c>
      <c r="G69" s="23">
        <v>1</v>
      </c>
      <c r="H69" s="23" t="s">
        <v>22</v>
      </c>
      <c r="I69" s="23" t="s">
        <v>22</v>
      </c>
      <c r="J69" s="23">
        <v>8</v>
      </c>
      <c r="K69" s="23"/>
      <c r="L69" s="23"/>
      <c r="M69" s="23"/>
      <c r="N69" s="24"/>
      <c r="O69" s="23">
        <v>150</v>
      </c>
      <c r="R69">
        <f t="shared" si="1"/>
        <v>1</v>
      </c>
    </row>
    <row r="70" spans="1:18" ht="15.75" thickBot="1">
      <c r="A70" s="35" t="s">
        <v>4261</v>
      </c>
      <c r="B70" s="23" t="s">
        <v>650</v>
      </c>
      <c r="C70" s="23">
        <v>6</v>
      </c>
      <c r="D70" s="23">
        <v>2</v>
      </c>
      <c r="E70" s="23">
        <v>4</v>
      </c>
      <c r="F70" s="23">
        <v>1</v>
      </c>
      <c r="G70" s="23">
        <v>1</v>
      </c>
      <c r="H70" s="23" t="s">
        <v>22</v>
      </c>
      <c r="I70" s="23" t="s">
        <v>22</v>
      </c>
      <c r="J70" s="23">
        <v>8</v>
      </c>
      <c r="K70" s="23"/>
      <c r="L70" s="23"/>
      <c r="M70" s="23"/>
      <c r="N70" s="24"/>
      <c r="O70" s="23">
        <v>393</v>
      </c>
      <c r="R70">
        <f t="shared" si="1"/>
        <v>1.3333333333333333</v>
      </c>
    </row>
    <row r="71" spans="1:18" ht="15.75" thickBot="1">
      <c r="A71" s="35" t="s">
        <v>4341</v>
      </c>
      <c r="B71" s="23" t="s">
        <v>641</v>
      </c>
      <c r="C71" s="23">
        <v>4</v>
      </c>
      <c r="D71" s="23">
        <v>2</v>
      </c>
      <c r="E71" s="23">
        <v>2</v>
      </c>
      <c r="F71" s="23">
        <v>1</v>
      </c>
      <c r="G71" s="23">
        <v>1</v>
      </c>
      <c r="H71" s="23" t="s">
        <v>22</v>
      </c>
      <c r="I71" s="23" t="s">
        <v>22</v>
      </c>
      <c r="J71" s="23">
        <v>4</v>
      </c>
      <c r="K71" s="23"/>
      <c r="L71" s="23"/>
      <c r="M71" s="23"/>
      <c r="N71" s="24"/>
      <c r="O71" s="23" t="s">
        <v>22</v>
      </c>
      <c r="R71">
        <f t="shared" si="1"/>
        <v>1</v>
      </c>
    </row>
    <row r="72" spans="1:18" ht="15.75" thickBot="1">
      <c r="A72" s="35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4"/>
      <c r="O72" s="23"/>
      <c r="R72" t="e">
        <f t="shared" si="1"/>
        <v>#DIV/0!</v>
      </c>
    </row>
    <row r="73" spans="1:18" ht="15.75" thickBot="1">
      <c r="A73" s="35" t="s">
        <v>4460</v>
      </c>
      <c r="B73" s="23" t="s">
        <v>634</v>
      </c>
      <c r="C73" s="23">
        <v>3</v>
      </c>
      <c r="D73" s="23">
        <v>1</v>
      </c>
      <c r="E73" s="23">
        <v>2</v>
      </c>
      <c r="F73" s="23">
        <v>1</v>
      </c>
      <c r="G73" s="23">
        <v>1</v>
      </c>
      <c r="H73" s="23" t="s">
        <v>22</v>
      </c>
      <c r="I73" s="23" t="s">
        <v>22</v>
      </c>
      <c r="J73" s="23">
        <v>4</v>
      </c>
      <c r="K73" s="23"/>
      <c r="L73" s="23"/>
      <c r="M73" s="23"/>
      <c r="N73" s="24"/>
      <c r="O73" s="23" t="s">
        <v>22</v>
      </c>
      <c r="R73">
        <f t="shared" si="1"/>
        <v>1.3333333333333333</v>
      </c>
    </row>
    <row r="74" spans="1:18" ht="15.75" thickBot="1">
      <c r="A74" s="35" t="s">
        <v>4462</v>
      </c>
      <c r="B74" s="23" t="s">
        <v>629</v>
      </c>
      <c r="C74" s="23">
        <v>5</v>
      </c>
      <c r="D74" s="23">
        <v>1</v>
      </c>
      <c r="E74" s="23">
        <v>4</v>
      </c>
      <c r="F74" s="23" t="s">
        <v>22</v>
      </c>
      <c r="G74" s="23">
        <v>1</v>
      </c>
      <c r="H74" s="23" t="s">
        <v>22</v>
      </c>
      <c r="I74" s="23" t="s">
        <v>22</v>
      </c>
      <c r="J74" s="23">
        <v>9</v>
      </c>
      <c r="K74" s="23"/>
      <c r="L74" s="23"/>
      <c r="M74" s="23"/>
      <c r="N74" s="24"/>
      <c r="O74" s="23" t="s">
        <v>22</v>
      </c>
      <c r="R74">
        <f t="shared" si="1"/>
        <v>1.8</v>
      </c>
    </row>
    <row r="75" spans="1:18" ht="15.75" thickBot="1">
      <c r="A75" s="35" t="s">
        <v>4464</v>
      </c>
      <c r="B75" s="23" t="s">
        <v>651</v>
      </c>
      <c r="C75" s="23">
        <v>6</v>
      </c>
      <c r="D75" s="23" t="s">
        <v>22</v>
      </c>
      <c r="E75" s="23">
        <v>6</v>
      </c>
      <c r="F75" s="23">
        <v>1</v>
      </c>
      <c r="G75" s="23">
        <v>1</v>
      </c>
      <c r="H75" s="23" t="s">
        <v>22</v>
      </c>
      <c r="I75" s="23" t="s">
        <v>22</v>
      </c>
      <c r="J75" s="23">
        <v>4</v>
      </c>
      <c r="K75" s="23"/>
      <c r="L75" s="23"/>
      <c r="M75" s="23"/>
      <c r="N75" s="24"/>
      <c r="O75" s="23">
        <v>42</v>
      </c>
      <c r="R75">
        <f t="shared" si="1"/>
        <v>0.66666666666666663</v>
      </c>
    </row>
    <row r="76" spans="1:18" ht="15.75" thickBot="1">
      <c r="A76" s="35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4"/>
      <c r="O76" s="23"/>
      <c r="R76" t="e">
        <f t="shared" si="1"/>
        <v>#DIV/0!</v>
      </c>
    </row>
    <row r="77" spans="1:18" ht="15.75" thickBot="1">
      <c r="A77" s="35" t="s">
        <v>204</v>
      </c>
      <c r="B77" s="23" t="s">
        <v>630</v>
      </c>
      <c r="C77" s="23">
        <v>5</v>
      </c>
      <c r="D77" s="23">
        <v>2</v>
      </c>
      <c r="E77" s="23">
        <v>3</v>
      </c>
      <c r="F77" s="23">
        <v>1</v>
      </c>
      <c r="G77" s="23" t="s">
        <v>652</v>
      </c>
      <c r="H77" s="23" t="s">
        <v>22</v>
      </c>
      <c r="I77" s="23" t="s">
        <v>22</v>
      </c>
      <c r="J77" s="23">
        <v>4</v>
      </c>
      <c r="K77" s="23"/>
      <c r="L77" s="23"/>
      <c r="M77" s="23"/>
      <c r="N77" s="24"/>
      <c r="O77" s="23">
        <v>498</v>
      </c>
      <c r="R77">
        <f t="shared" si="1"/>
        <v>0.8</v>
      </c>
    </row>
    <row r="78" spans="1:18" ht="15.75" thickBot="1">
      <c r="A78" s="35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4"/>
      <c r="O78" s="23"/>
      <c r="R78" t="e">
        <f t="shared" si="1"/>
        <v>#DIV/0!</v>
      </c>
    </row>
    <row r="79" spans="1:18" ht="15.75" thickBot="1">
      <c r="A79" s="35" t="s">
        <v>205</v>
      </c>
      <c r="B79" s="23" t="s">
        <v>630</v>
      </c>
      <c r="C79" s="23">
        <v>2</v>
      </c>
      <c r="D79" s="23">
        <v>1</v>
      </c>
      <c r="E79" s="23">
        <v>1</v>
      </c>
      <c r="F79" s="23">
        <v>1</v>
      </c>
      <c r="G79" s="23">
        <v>1</v>
      </c>
      <c r="H79" s="23" t="s">
        <v>22</v>
      </c>
      <c r="I79" s="23" t="s">
        <v>22</v>
      </c>
      <c r="J79" s="23">
        <v>3</v>
      </c>
      <c r="K79" s="23"/>
      <c r="L79" s="23"/>
      <c r="M79" s="23"/>
      <c r="N79" s="24"/>
      <c r="O79" s="23">
        <v>496</v>
      </c>
      <c r="R79">
        <f t="shared" si="1"/>
        <v>1.5</v>
      </c>
    </row>
    <row r="80" spans="1:18" ht="15.75" thickBot="1">
      <c r="A80" s="35"/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4"/>
      <c r="O80" s="23"/>
      <c r="R80" t="e">
        <f t="shared" si="1"/>
        <v>#DIV/0!</v>
      </c>
    </row>
    <row r="81" spans="1:18">
      <c r="A81" s="346" t="s">
        <v>206</v>
      </c>
      <c r="B81" s="347" t="s">
        <v>653</v>
      </c>
      <c r="C81" s="344">
        <v>5</v>
      </c>
      <c r="D81" s="344">
        <v>2</v>
      </c>
      <c r="E81" s="344">
        <v>3</v>
      </c>
      <c r="F81" s="344">
        <v>1</v>
      </c>
      <c r="G81" s="344">
        <v>1</v>
      </c>
      <c r="H81" s="344" t="s">
        <v>22</v>
      </c>
      <c r="I81" s="344" t="s">
        <v>22</v>
      </c>
      <c r="J81" s="344" t="s">
        <v>22</v>
      </c>
      <c r="K81" s="344"/>
      <c r="L81" s="344"/>
      <c r="M81" s="344"/>
      <c r="N81" s="349"/>
      <c r="O81" s="26" t="s">
        <v>22</v>
      </c>
      <c r="R81" t="e">
        <f t="shared" si="1"/>
        <v>#VALUE!</v>
      </c>
    </row>
    <row r="82" spans="1:18" ht="15.75" thickBot="1">
      <c r="A82" s="346"/>
      <c r="B82" s="348"/>
      <c r="C82" s="345"/>
      <c r="D82" s="345"/>
      <c r="E82" s="345"/>
      <c r="F82" s="345"/>
      <c r="G82" s="345"/>
      <c r="H82" s="345"/>
      <c r="I82" s="345"/>
      <c r="J82" s="345"/>
      <c r="K82" s="345"/>
      <c r="L82" s="345"/>
      <c r="M82" s="345"/>
      <c r="N82" s="350"/>
      <c r="O82" s="23" t="s">
        <v>654</v>
      </c>
      <c r="R82" t="e">
        <f t="shared" si="1"/>
        <v>#DIV/0!</v>
      </c>
    </row>
    <row r="83" spans="1:18" ht="15.75" thickBot="1">
      <c r="A83" s="35"/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4"/>
      <c r="O83" s="23"/>
      <c r="R83" t="e">
        <f t="shared" si="1"/>
        <v>#DIV/0!</v>
      </c>
    </row>
    <row r="84" spans="1:18" ht="15.75" thickBot="1">
      <c r="A84" s="35" t="s">
        <v>207</v>
      </c>
      <c r="B84" s="23" t="s">
        <v>624</v>
      </c>
      <c r="C84" s="23">
        <v>3</v>
      </c>
      <c r="D84" s="23">
        <v>2</v>
      </c>
      <c r="E84" s="23">
        <v>1</v>
      </c>
      <c r="F84" s="23">
        <v>1</v>
      </c>
      <c r="G84" s="23">
        <v>2</v>
      </c>
      <c r="H84" s="23" t="s">
        <v>22</v>
      </c>
      <c r="I84" s="23">
        <v>1</v>
      </c>
      <c r="J84" s="23" t="s">
        <v>22</v>
      </c>
      <c r="K84" s="23"/>
      <c r="L84" s="23"/>
      <c r="M84" s="23"/>
      <c r="N84" s="24"/>
      <c r="O84" s="23" t="s">
        <v>22</v>
      </c>
      <c r="R84" t="e">
        <f t="shared" si="1"/>
        <v>#VALUE!</v>
      </c>
    </row>
    <row r="85" spans="1:18" ht="15.75" thickBot="1">
      <c r="A85" s="35"/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4"/>
      <c r="O85" s="23"/>
      <c r="R85" t="e">
        <f t="shared" si="1"/>
        <v>#DIV/0!</v>
      </c>
    </row>
    <row r="86" spans="1:18" ht="15.75" thickBot="1">
      <c r="A86" s="35" t="s">
        <v>208</v>
      </c>
      <c r="B86" s="23" t="s">
        <v>655</v>
      </c>
      <c r="C86" s="23">
        <v>1</v>
      </c>
      <c r="D86" s="23" t="s">
        <v>22</v>
      </c>
      <c r="E86" s="23">
        <v>1</v>
      </c>
      <c r="F86" s="23" t="s">
        <v>22</v>
      </c>
      <c r="G86" s="23">
        <v>1</v>
      </c>
      <c r="H86" s="23" t="s">
        <v>22</v>
      </c>
      <c r="I86" s="23" t="s">
        <v>22</v>
      </c>
      <c r="J86" s="23" t="s">
        <v>22</v>
      </c>
      <c r="K86" s="23"/>
      <c r="L86" s="23"/>
      <c r="M86" s="23"/>
      <c r="N86" s="24"/>
      <c r="O86" s="23" t="s">
        <v>22</v>
      </c>
      <c r="R86" t="e">
        <f t="shared" si="1"/>
        <v>#VALUE!</v>
      </c>
    </row>
    <row r="87" spans="1:18" ht="15.75" thickBot="1">
      <c r="A87" s="35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4"/>
      <c r="O87" s="23"/>
      <c r="R87" t="e">
        <f t="shared" si="1"/>
        <v>#DIV/0!</v>
      </c>
    </row>
    <row r="88" spans="1:18" ht="15.75" thickBot="1">
      <c r="A88" s="35" t="s">
        <v>209</v>
      </c>
      <c r="B88" s="23" t="s">
        <v>656</v>
      </c>
      <c r="C88" s="23">
        <v>9</v>
      </c>
      <c r="D88" s="23">
        <v>1</v>
      </c>
      <c r="E88" s="23">
        <v>8</v>
      </c>
      <c r="F88" s="23">
        <v>1</v>
      </c>
      <c r="G88" s="23">
        <v>2</v>
      </c>
      <c r="H88" s="23" t="s">
        <v>22</v>
      </c>
      <c r="I88" s="23" t="s">
        <v>22</v>
      </c>
      <c r="J88" s="23">
        <v>8</v>
      </c>
      <c r="K88" s="23"/>
      <c r="L88" s="23"/>
      <c r="M88" s="23"/>
      <c r="N88" s="24"/>
      <c r="O88" s="23" t="s">
        <v>657</v>
      </c>
      <c r="R88">
        <f t="shared" si="1"/>
        <v>0.88888888888888884</v>
      </c>
    </row>
    <row r="89" spans="1:18" ht="15.75" thickBot="1">
      <c r="A89" s="35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4"/>
      <c r="O89" s="23"/>
      <c r="R89" t="e">
        <f t="shared" si="1"/>
        <v>#DIV/0!</v>
      </c>
    </row>
    <row r="90" spans="1:18" ht="15.75" thickBot="1">
      <c r="A90" s="35" t="s">
        <v>4840</v>
      </c>
      <c r="B90" s="23" t="s">
        <v>634</v>
      </c>
      <c r="C90" s="23">
        <v>9</v>
      </c>
      <c r="D90" s="23">
        <v>1</v>
      </c>
      <c r="E90" s="23">
        <v>8</v>
      </c>
      <c r="F90" s="23">
        <v>2</v>
      </c>
      <c r="G90" s="23">
        <v>2</v>
      </c>
      <c r="H90" s="23" t="s">
        <v>22</v>
      </c>
      <c r="I90" s="23" t="s">
        <v>22</v>
      </c>
      <c r="J90" s="23">
        <v>12</v>
      </c>
      <c r="K90" s="23"/>
      <c r="L90" s="23"/>
      <c r="M90" s="23"/>
      <c r="N90" s="24"/>
      <c r="O90" s="23">
        <v>273</v>
      </c>
      <c r="R90">
        <f t="shared" si="1"/>
        <v>1.3333333333333333</v>
      </c>
    </row>
    <row r="91" spans="1:18" ht="15.75" thickBot="1">
      <c r="A91" s="35" t="s">
        <v>4739</v>
      </c>
      <c r="B91" s="23" t="s">
        <v>643</v>
      </c>
      <c r="C91" s="23">
        <v>5</v>
      </c>
      <c r="D91" s="23">
        <v>2</v>
      </c>
      <c r="E91" s="23">
        <v>3</v>
      </c>
      <c r="F91" s="23" t="s">
        <v>22</v>
      </c>
      <c r="G91" s="23">
        <v>5</v>
      </c>
      <c r="H91" s="23" t="s">
        <v>22</v>
      </c>
      <c r="I91" s="23">
        <v>1</v>
      </c>
      <c r="J91" s="23">
        <v>4</v>
      </c>
      <c r="K91" s="23"/>
      <c r="L91" s="23"/>
      <c r="M91" s="23"/>
      <c r="N91" s="24"/>
      <c r="O91" s="23">
        <v>788</v>
      </c>
      <c r="R91">
        <f t="shared" si="1"/>
        <v>0.8</v>
      </c>
    </row>
    <row r="92" spans="1:18" ht="15.75" thickBot="1">
      <c r="A92" s="35" t="s">
        <v>4771</v>
      </c>
      <c r="B92" s="23" t="s">
        <v>658</v>
      </c>
      <c r="C92" s="23">
        <v>8</v>
      </c>
      <c r="D92" s="23">
        <v>1</v>
      </c>
      <c r="E92" s="23">
        <v>7</v>
      </c>
      <c r="F92" s="23">
        <v>1</v>
      </c>
      <c r="G92" s="23">
        <v>1</v>
      </c>
      <c r="H92" s="23" t="s">
        <v>22</v>
      </c>
      <c r="I92" s="23" t="s">
        <v>22</v>
      </c>
      <c r="J92" s="23">
        <v>12</v>
      </c>
      <c r="K92" s="23"/>
      <c r="L92" s="23"/>
      <c r="M92" s="23"/>
      <c r="N92" s="24"/>
      <c r="O92" s="23">
        <v>98</v>
      </c>
      <c r="R92">
        <f t="shared" si="1"/>
        <v>1.5</v>
      </c>
    </row>
    <row r="93" spans="1:18" ht="15.75" thickBot="1">
      <c r="A93" s="35" t="s">
        <v>4748</v>
      </c>
      <c r="B93" s="23" t="s">
        <v>659</v>
      </c>
      <c r="C93" s="23">
        <v>7</v>
      </c>
      <c r="D93" s="23">
        <v>3</v>
      </c>
      <c r="E93" s="23">
        <v>4</v>
      </c>
      <c r="F93" s="23">
        <v>2</v>
      </c>
      <c r="G93" s="23">
        <v>1</v>
      </c>
      <c r="H93" s="23" t="s">
        <v>22</v>
      </c>
      <c r="I93" s="23" t="s">
        <v>22</v>
      </c>
      <c r="J93" s="23">
        <v>12</v>
      </c>
      <c r="K93" s="23"/>
      <c r="L93" s="23"/>
      <c r="M93" s="23"/>
      <c r="N93" s="24"/>
      <c r="O93" s="23">
        <v>47</v>
      </c>
      <c r="R93">
        <f t="shared" si="1"/>
        <v>1.7142857142857142</v>
      </c>
    </row>
    <row r="94" spans="1:18" ht="15.75" thickBot="1">
      <c r="A94" s="35" t="s">
        <v>4763</v>
      </c>
      <c r="B94" s="23" t="s">
        <v>660</v>
      </c>
      <c r="C94" s="23">
        <v>2</v>
      </c>
      <c r="D94" s="23" t="s">
        <v>22</v>
      </c>
      <c r="E94" s="23">
        <v>2</v>
      </c>
      <c r="F94" s="23">
        <v>1</v>
      </c>
      <c r="G94" s="23">
        <v>1</v>
      </c>
      <c r="H94" s="23" t="s">
        <v>22</v>
      </c>
      <c r="I94" s="23" t="s">
        <v>22</v>
      </c>
      <c r="J94" s="23">
        <v>5</v>
      </c>
      <c r="K94" s="23"/>
      <c r="L94" s="23"/>
      <c r="M94" s="23"/>
      <c r="N94" s="24"/>
      <c r="O94" s="23">
        <v>672</v>
      </c>
      <c r="R94">
        <f t="shared" si="1"/>
        <v>2.5</v>
      </c>
    </row>
    <row r="95" spans="1:18" ht="15.75" thickBot="1">
      <c r="A95" s="35" t="s">
        <v>4726</v>
      </c>
      <c r="B95" s="23" t="s">
        <v>661</v>
      </c>
      <c r="C95" s="23">
        <v>9</v>
      </c>
      <c r="D95" s="23">
        <v>2</v>
      </c>
      <c r="E95" s="23">
        <v>7</v>
      </c>
      <c r="F95" s="23">
        <v>2</v>
      </c>
      <c r="G95" s="23">
        <v>1</v>
      </c>
      <c r="H95" s="23" t="s">
        <v>22</v>
      </c>
      <c r="I95" s="23" t="s">
        <v>22</v>
      </c>
      <c r="J95" s="23">
        <v>9</v>
      </c>
      <c r="K95" s="23"/>
      <c r="L95" s="23"/>
      <c r="M95" s="23"/>
      <c r="N95" s="24"/>
      <c r="O95" s="23">
        <v>684</v>
      </c>
      <c r="R95">
        <f t="shared" si="1"/>
        <v>1</v>
      </c>
    </row>
    <row r="96" spans="1:18" ht="15.75" thickBot="1">
      <c r="A96" s="35" t="s">
        <v>4724</v>
      </c>
      <c r="B96" s="23" t="s">
        <v>662</v>
      </c>
      <c r="C96" s="23">
        <v>3</v>
      </c>
      <c r="D96" s="23" t="s">
        <v>22</v>
      </c>
      <c r="E96" s="23">
        <v>3</v>
      </c>
      <c r="F96" s="23">
        <v>1</v>
      </c>
      <c r="G96" s="23">
        <v>1</v>
      </c>
      <c r="H96" s="23" t="s">
        <v>22</v>
      </c>
      <c r="I96" s="23" t="s">
        <v>22</v>
      </c>
      <c r="J96" s="23">
        <v>5</v>
      </c>
      <c r="K96" s="23"/>
      <c r="L96" s="23"/>
      <c r="M96" s="23"/>
      <c r="N96" s="24"/>
      <c r="O96" s="23">
        <v>172</v>
      </c>
      <c r="R96">
        <f t="shared" si="1"/>
        <v>1.6666666666666667</v>
      </c>
    </row>
    <row r="97" spans="1:18" ht="15.75" thickBot="1">
      <c r="A97" s="35" t="s">
        <v>4841</v>
      </c>
      <c r="B97" s="23" t="s">
        <v>624</v>
      </c>
      <c r="C97" s="23">
        <v>2</v>
      </c>
      <c r="D97" s="23">
        <v>2</v>
      </c>
      <c r="E97" s="23" t="s">
        <v>22</v>
      </c>
      <c r="F97" s="23" t="s">
        <v>22</v>
      </c>
      <c r="G97" s="23" t="s">
        <v>22</v>
      </c>
      <c r="H97" s="23" t="s">
        <v>22</v>
      </c>
      <c r="I97" s="23" t="s">
        <v>22</v>
      </c>
      <c r="J97" s="23" t="s">
        <v>22</v>
      </c>
      <c r="K97" s="23"/>
      <c r="L97" s="23"/>
      <c r="M97" s="23"/>
      <c r="N97" s="24"/>
      <c r="O97" s="23" t="s">
        <v>22</v>
      </c>
      <c r="R97" t="e">
        <f t="shared" si="1"/>
        <v>#VALUE!</v>
      </c>
    </row>
    <row r="98" spans="1:18" ht="15.75" thickBot="1">
      <c r="A98" s="35" t="s">
        <v>4751</v>
      </c>
      <c r="B98" s="23" t="s">
        <v>663</v>
      </c>
      <c r="C98" s="23">
        <v>5</v>
      </c>
      <c r="D98" s="23">
        <v>3</v>
      </c>
      <c r="E98" s="23">
        <v>2</v>
      </c>
      <c r="F98" s="23">
        <v>1</v>
      </c>
      <c r="G98" s="23">
        <v>1</v>
      </c>
      <c r="H98" s="23" t="s">
        <v>22</v>
      </c>
      <c r="I98" s="23" t="s">
        <v>22</v>
      </c>
      <c r="J98" s="23">
        <v>8</v>
      </c>
      <c r="K98" s="23"/>
      <c r="L98" s="23"/>
      <c r="M98" s="23"/>
      <c r="N98" s="24"/>
      <c r="O98" s="23">
        <v>102</v>
      </c>
      <c r="R98">
        <f t="shared" si="1"/>
        <v>1.6</v>
      </c>
    </row>
    <row r="99" spans="1:18" ht="15.75" thickBot="1">
      <c r="A99" s="35" t="s">
        <v>4842</v>
      </c>
      <c r="B99" s="23" t="s">
        <v>641</v>
      </c>
      <c r="C99" s="23">
        <v>2</v>
      </c>
      <c r="D99" s="23">
        <v>2</v>
      </c>
      <c r="E99" s="23" t="s">
        <v>22</v>
      </c>
      <c r="F99" s="23" t="s">
        <v>22</v>
      </c>
      <c r="G99" s="23" t="s">
        <v>22</v>
      </c>
      <c r="H99" s="23" t="s">
        <v>22</v>
      </c>
      <c r="I99" s="23" t="s">
        <v>22</v>
      </c>
      <c r="J99" s="23" t="s">
        <v>22</v>
      </c>
      <c r="K99" s="23"/>
      <c r="L99" s="23"/>
      <c r="M99" s="23"/>
      <c r="N99" s="24"/>
      <c r="O99" s="23">
        <v>124</v>
      </c>
      <c r="R99" t="e">
        <f t="shared" si="1"/>
        <v>#VALUE!</v>
      </c>
    </row>
    <row r="100" spans="1:18" ht="15.75" thickBot="1">
      <c r="A100" s="35" t="s">
        <v>4737</v>
      </c>
      <c r="B100" s="23" t="s">
        <v>664</v>
      </c>
      <c r="C100" s="23">
        <v>8</v>
      </c>
      <c r="D100" s="23">
        <v>2</v>
      </c>
      <c r="E100" s="23">
        <v>6</v>
      </c>
      <c r="F100" s="23">
        <v>3</v>
      </c>
      <c r="G100" s="23">
        <v>2</v>
      </c>
      <c r="H100" s="23" t="s">
        <v>22</v>
      </c>
      <c r="I100" s="23" t="s">
        <v>22</v>
      </c>
      <c r="J100" s="23">
        <v>10</v>
      </c>
      <c r="K100" s="23"/>
      <c r="L100" s="23"/>
      <c r="M100" s="23"/>
      <c r="N100" s="24"/>
      <c r="O100" s="23">
        <v>803</v>
      </c>
      <c r="R100">
        <f t="shared" si="1"/>
        <v>1.25</v>
      </c>
    </row>
    <row r="101" spans="1:18" ht="15.75" thickBot="1">
      <c r="A101" s="35" t="s">
        <v>4775</v>
      </c>
      <c r="B101" s="23" t="s">
        <v>634</v>
      </c>
      <c r="C101" s="23">
        <v>2</v>
      </c>
      <c r="D101" s="23">
        <v>2</v>
      </c>
      <c r="E101" s="23" t="s">
        <v>22</v>
      </c>
      <c r="F101" s="23" t="s">
        <v>22</v>
      </c>
      <c r="G101" s="23">
        <v>1</v>
      </c>
      <c r="H101" s="23" t="s">
        <v>22</v>
      </c>
      <c r="I101" s="23" t="s">
        <v>22</v>
      </c>
      <c r="J101" s="23">
        <v>2</v>
      </c>
      <c r="K101" s="23"/>
      <c r="L101" s="23"/>
      <c r="M101" s="23"/>
      <c r="N101" s="24"/>
      <c r="O101" s="23">
        <v>264</v>
      </c>
      <c r="R101">
        <f t="shared" si="1"/>
        <v>1</v>
      </c>
    </row>
    <row r="102" spans="1:18" ht="15.75" thickBot="1">
      <c r="A102" s="35" t="s">
        <v>4843</v>
      </c>
      <c r="B102" s="23" t="s">
        <v>665</v>
      </c>
      <c r="C102" s="23">
        <v>5</v>
      </c>
      <c r="D102" s="23">
        <v>2</v>
      </c>
      <c r="E102" s="23">
        <v>3</v>
      </c>
      <c r="F102" s="23">
        <v>1</v>
      </c>
      <c r="G102" s="23">
        <v>2</v>
      </c>
      <c r="H102" s="23" t="s">
        <v>22</v>
      </c>
      <c r="I102" s="23">
        <v>2</v>
      </c>
      <c r="J102" s="23">
        <v>10</v>
      </c>
      <c r="K102" s="23"/>
      <c r="L102" s="23"/>
      <c r="M102" s="23"/>
      <c r="N102" s="24"/>
      <c r="O102" s="23">
        <v>113</v>
      </c>
      <c r="R102">
        <f t="shared" si="1"/>
        <v>2</v>
      </c>
    </row>
    <row r="103" spans="1:18" ht="15.75" thickBot="1">
      <c r="A103" s="35"/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4"/>
      <c r="O103" s="23"/>
      <c r="R103" t="e">
        <f t="shared" si="1"/>
        <v>#DIV/0!</v>
      </c>
    </row>
    <row r="104" spans="1:18" ht="15.75" thickBot="1">
      <c r="A104" s="35" t="s">
        <v>4753</v>
      </c>
      <c r="B104" s="23" t="s">
        <v>666</v>
      </c>
      <c r="C104" s="23">
        <v>3</v>
      </c>
      <c r="D104" s="23" t="s">
        <v>633</v>
      </c>
      <c r="E104" s="23">
        <v>2</v>
      </c>
      <c r="F104" s="23">
        <v>1</v>
      </c>
      <c r="G104" s="23" t="s">
        <v>22</v>
      </c>
      <c r="H104" s="23" t="s">
        <v>22</v>
      </c>
      <c r="I104" s="23" t="s">
        <v>22</v>
      </c>
      <c r="J104" s="23">
        <v>4</v>
      </c>
      <c r="K104" s="23"/>
      <c r="L104" s="23"/>
      <c r="M104" s="23"/>
      <c r="N104" s="24"/>
      <c r="O104" s="23">
        <v>118</v>
      </c>
      <c r="R104">
        <f t="shared" si="1"/>
        <v>1.3333333333333333</v>
      </c>
    </row>
    <row r="105" spans="1:18" ht="15.75" thickBot="1">
      <c r="A105" s="35" t="s">
        <v>4844</v>
      </c>
      <c r="B105" s="23" t="s">
        <v>636</v>
      </c>
      <c r="C105" s="23">
        <v>4</v>
      </c>
      <c r="D105" s="23">
        <v>1</v>
      </c>
      <c r="E105" s="23">
        <v>3</v>
      </c>
      <c r="F105" s="23">
        <v>1</v>
      </c>
      <c r="G105" s="23" t="s">
        <v>22</v>
      </c>
      <c r="H105" s="23" t="s">
        <v>22</v>
      </c>
      <c r="I105" s="23" t="s">
        <v>22</v>
      </c>
      <c r="J105" s="23">
        <v>4</v>
      </c>
      <c r="K105" s="23"/>
      <c r="L105" s="23"/>
      <c r="M105" s="23"/>
      <c r="N105" s="24"/>
      <c r="O105" s="23">
        <v>315</v>
      </c>
      <c r="R105">
        <f t="shared" si="1"/>
        <v>1</v>
      </c>
    </row>
    <row r="106" spans="1:18" ht="15.75" thickBot="1">
      <c r="A106" s="35" t="s">
        <v>4845</v>
      </c>
      <c r="B106" s="23" t="s">
        <v>634</v>
      </c>
      <c r="C106" s="23">
        <v>3</v>
      </c>
      <c r="D106" s="23">
        <v>1</v>
      </c>
      <c r="E106" s="23">
        <v>2</v>
      </c>
      <c r="F106" s="23" t="s">
        <v>22</v>
      </c>
      <c r="G106" s="23" t="s">
        <v>22</v>
      </c>
      <c r="H106" s="23" t="s">
        <v>22</v>
      </c>
      <c r="I106" s="23" t="s">
        <v>22</v>
      </c>
      <c r="J106" s="23">
        <v>4</v>
      </c>
      <c r="K106" s="23"/>
      <c r="L106" s="23"/>
      <c r="M106" s="23"/>
      <c r="N106" s="24"/>
      <c r="O106" s="23" t="s">
        <v>22</v>
      </c>
      <c r="R106">
        <f t="shared" si="1"/>
        <v>1.3333333333333333</v>
      </c>
    </row>
    <row r="107" spans="1:18" ht="15.75" thickBot="1">
      <c r="A107" s="35" t="s">
        <v>4846</v>
      </c>
      <c r="B107" s="23" t="s">
        <v>667</v>
      </c>
      <c r="C107" s="23">
        <v>6</v>
      </c>
      <c r="D107" s="23" t="s">
        <v>22</v>
      </c>
      <c r="E107" s="23">
        <v>6</v>
      </c>
      <c r="F107" s="23">
        <v>1</v>
      </c>
      <c r="G107" s="23">
        <v>1</v>
      </c>
      <c r="H107" s="23" t="s">
        <v>22</v>
      </c>
      <c r="I107" s="23" t="s">
        <v>22</v>
      </c>
      <c r="J107" s="23">
        <v>4</v>
      </c>
      <c r="K107" s="23"/>
      <c r="L107" s="23"/>
      <c r="M107" s="23"/>
      <c r="N107" s="24"/>
      <c r="O107" s="23" t="s">
        <v>22</v>
      </c>
      <c r="R107">
        <f t="shared" si="1"/>
        <v>0.66666666666666663</v>
      </c>
    </row>
    <row r="108" spans="1:18" ht="15.75" thickBot="1">
      <c r="A108" s="35" t="s">
        <v>4847</v>
      </c>
      <c r="B108" s="23" t="s">
        <v>668</v>
      </c>
      <c r="C108" s="23">
        <v>4</v>
      </c>
      <c r="D108" s="23" t="s">
        <v>22</v>
      </c>
      <c r="E108" s="23">
        <v>4</v>
      </c>
      <c r="F108" s="23">
        <v>1</v>
      </c>
      <c r="G108" s="23">
        <v>1</v>
      </c>
      <c r="H108" s="23" t="s">
        <v>22</v>
      </c>
      <c r="I108" s="23" t="s">
        <v>22</v>
      </c>
      <c r="J108" s="23">
        <v>4</v>
      </c>
      <c r="K108" s="23"/>
      <c r="L108" s="23"/>
      <c r="M108" s="23"/>
      <c r="N108" s="24"/>
      <c r="O108" s="23">
        <v>110</v>
      </c>
      <c r="R108">
        <f t="shared" si="1"/>
        <v>1</v>
      </c>
    </row>
    <row r="109" spans="1:18" ht="15.75" thickBot="1">
      <c r="A109" s="35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4"/>
      <c r="O109" s="23"/>
      <c r="R109" t="e">
        <f t="shared" si="1"/>
        <v>#DIV/0!</v>
      </c>
    </row>
    <row r="110" spans="1:18" ht="15.75" thickBot="1">
      <c r="A110" s="35" t="s">
        <v>210</v>
      </c>
      <c r="B110" s="23" t="s">
        <v>624</v>
      </c>
      <c r="C110" s="23">
        <v>7</v>
      </c>
      <c r="D110" s="23">
        <v>4</v>
      </c>
      <c r="E110" s="23">
        <v>3</v>
      </c>
      <c r="F110" s="23">
        <v>1</v>
      </c>
      <c r="G110" s="23">
        <v>1</v>
      </c>
      <c r="H110" s="23" t="s">
        <v>22</v>
      </c>
      <c r="I110" s="23" t="s">
        <v>22</v>
      </c>
      <c r="J110" s="23">
        <v>4</v>
      </c>
      <c r="K110" s="23"/>
      <c r="L110" s="23"/>
      <c r="M110" s="23"/>
      <c r="N110" s="24"/>
      <c r="O110" s="23">
        <v>595</v>
      </c>
      <c r="R110">
        <f t="shared" si="1"/>
        <v>0.5714285714285714</v>
      </c>
    </row>
    <row r="111" spans="1:18" ht="15.75" thickBot="1">
      <c r="A111" s="35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4"/>
      <c r="O111" s="23"/>
      <c r="R111" t="e">
        <f t="shared" si="1"/>
        <v>#DIV/0!</v>
      </c>
    </row>
    <row r="112" spans="1:18" ht="15.75" thickBot="1">
      <c r="A112" s="35" t="s">
        <v>211</v>
      </c>
      <c r="B112" s="23" t="s">
        <v>669</v>
      </c>
      <c r="C112" s="23">
        <v>6</v>
      </c>
      <c r="D112" s="23">
        <v>1</v>
      </c>
      <c r="E112" s="23">
        <v>5</v>
      </c>
      <c r="F112" s="23">
        <v>1</v>
      </c>
      <c r="G112" s="23">
        <v>1</v>
      </c>
      <c r="H112" s="23" t="s">
        <v>22</v>
      </c>
      <c r="I112" s="23" t="s">
        <v>22</v>
      </c>
      <c r="J112" s="23">
        <v>4</v>
      </c>
      <c r="K112" s="23"/>
      <c r="L112" s="23"/>
      <c r="M112" s="23"/>
      <c r="N112" s="24"/>
      <c r="O112" s="23">
        <v>648</v>
      </c>
      <c r="R112">
        <f t="shared" si="1"/>
        <v>0.66666666666666663</v>
      </c>
    </row>
    <row r="113" spans="1:18" ht="15.75" thickBot="1">
      <c r="A113" s="35" t="s">
        <v>212</v>
      </c>
      <c r="B113" s="23" t="s">
        <v>670</v>
      </c>
      <c r="C113" s="23">
        <v>7</v>
      </c>
      <c r="D113" s="23">
        <v>3</v>
      </c>
      <c r="E113" s="23">
        <v>4</v>
      </c>
      <c r="F113" s="23" t="s">
        <v>22</v>
      </c>
      <c r="G113" s="23">
        <v>1</v>
      </c>
      <c r="H113" s="23" t="s">
        <v>22</v>
      </c>
      <c r="I113" s="23" t="s">
        <v>22</v>
      </c>
      <c r="J113" s="23">
        <v>7</v>
      </c>
      <c r="K113" s="23"/>
      <c r="L113" s="23"/>
      <c r="M113" s="23"/>
      <c r="N113" s="24"/>
      <c r="O113" s="23">
        <v>829</v>
      </c>
      <c r="R113">
        <f t="shared" si="1"/>
        <v>1</v>
      </c>
    </row>
    <row r="114" spans="1:18" ht="15.75" thickBot="1">
      <c r="A114" s="35" t="s">
        <v>213</v>
      </c>
      <c r="B114" s="23" t="s">
        <v>671</v>
      </c>
      <c r="C114" s="23">
        <v>5</v>
      </c>
      <c r="D114" s="23">
        <v>1</v>
      </c>
      <c r="E114" s="23">
        <v>4</v>
      </c>
      <c r="F114" s="23" t="s">
        <v>22</v>
      </c>
      <c r="G114" s="23" t="s">
        <v>22</v>
      </c>
      <c r="H114" s="23" t="s">
        <v>22</v>
      </c>
      <c r="I114" s="23" t="s">
        <v>22</v>
      </c>
      <c r="J114" s="23" t="s">
        <v>22</v>
      </c>
      <c r="K114" s="23"/>
      <c r="L114" s="23"/>
      <c r="M114" s="23"/>
      <c r="N114" s="24"/>
      <c r="O114" s="23" t="s">
        <v>22</v>
      </c>
      <c r="R114" t="e">
        <f t="shared" si="1"/>
        <v>#VALUE!</v>
      </c>
    </row>
    <row r="115" spans="1:18" ht="15.75" thickBot="1">
      <c r="A115" s="35" t="s">
        <v>214</v>
      </c>
      <c r="B115" s="23" t="s">
        <v>631</v>
      </c>
      <c r="C115" s="23">
        <v>7</v>
      </c>
      <c r="D115" s="23">
        <v>1</v>
      </c>
      <c r="E115" s="23">
        <v>6</v>
      </c>
      <c r="F115" s="23">
        <v>1</v>
      </c>
      <c r="G115" s="23">
        <v>1</v>
      </c>
      <c r="H115" s="23" t="s">
        <v>22</v>
      </c>
      <c r="I115" s="23" t="s">
        <v>22</v>
      </c>
      <c r="J115" s="23">
        <v>9</v>
      </c>
      <c r="K115" s="23"/>
      <c r="L115" s="23"/>
      <c r="M115" s="23"/>
      <c r="N115" s="24"/>
      <c r="O115" s="23">
        <v>369</v>
      </c>
      <c r="R115">
        <f t="shared" si="1"/>
        <v>1.2857142857142858</v>
      </c>
    </row>
    <row r="116" spans="1:18" ht="15.75" thickBot="1">
      <c r="A116" s="35" t="s">
        <v>215</v>
      </c>
      <c r="B116" s="23" t="s">
        <v>636</v>
      </c>
      <c r="C116" s="23">
        <v>5</v>
      </c>
      <c r="D116" s="23">
        <v>2</v>
      </c>
      <c r="E116" s="23">
        <v>3</v>
      </c>
      <c r="F116" s="23">
        <v>2</v>
      </c>
      <c r="G116" s="23">
        <v>1</v>
      </c>
      <c r="H116" s="23" t="s">
        <v>22</v>
      </c>
      <c r="I116" s="23" t="s">
        <v>22</v>
      </c>
      <c r="J116" s="23">
        <v>8</v>
      </c>
      <c r="K116" s="23"/>
      <c r="L116" s="23"/>
      <c r="M116" s="23"/>
      <c r="N116" s="24"/>
      <c r="O116" s="23">
        <v>288</v>
      </c>
      <c r="R116">
        <f t="shared" si="1"/>
        <v>1.6</v>
      </c>
    </row>
    <row r="117" spans="1:18" ht="15.75" thickBot="1">
      <c r="A117" s="35" t="s">
        <v>216</v>
      </c>
      <c r="B117" s="23" t="s">
        <v>629</v>
      </c>
      <c r="C117" s="23">
        <v>5</v>
      </c>
      <c r="D117" s="23">
        <v>3</v>
      </c>
      <c r="E117" s="23">
        <v>2</v>
      </c>
      <c r="F117" s="23" t="s">
        <v>22</v>
      </c>
      <c r="G117" s="23">
        <v>1</v>
      </c>
      <c r="H117" s="23" t="s">
        <v>22</v>
      </c>
      <c r="I117" s="23">
        <v>1</v>
      </c>
      <c r="J117" s="25">
        <v>4.5</v>
      </c>
      <c r="K117" s="23"/>
      <c r="L117" s="23"/>
      <c r="M117" s="23"/>
      <c r="N117" s="24"/>
      <c r="O117" s="23">
        <v>887</v>
      </c>
      <c r="R117">
        <f t="shared" si="1"/>
        <v>0.9</v>
      </c>
    </row>
    <row r="118" spans="1:18" ht="15.75" thickBot="1">
      <c r="A118" s="35" t="s">
        <v>217</v>
      </c>
      <c r="B118" s="23" t="s">
        <v>672</v>
      </c>
      <c r="C118" s="23">
        <v>4</v>
      </c>
      <c r="D118" s="23">
        <v>2</v>
      </c>
      <c r="E118" s="23">
        <v>2</v>
      </c>
      <c r="F118" s="23">
        <v>1</v>
      </c>
      <c r="G118" s="23">
        <v>1</v>
      </c>
      <c r="H118" s="23" t="s">
        <v>22</v>
      </c>
      <c r="I118" s="23" t="s">
        <v>22</v>
      </c>
      <c r="J118" s="23">
        <v>4</v>
      </c>
      <c r="K118" s="23"/>
      <c r="L118" s="23"/>
      <c r="M118" s="23"/>
      <c r="N118" s="24"/>
      <c r="O118" s="23">
        <v>443</v>
      </c>
      <c r="R118">
        <f t="shared" si="1"/>
        <v>1</v>
      </c>
    </row>
    <row r="119" spans="1:18" ht="15.75" thickBot="1">
      <c r="A119" s="35" t="s">
        <v>218</v>
      </c>
      <c r="B119" s="23" t="s">
        <v>673</v>
      </c>
      <c r="C119" s="23">
        <v>3</v>
      </c>
      <c r="D119" s="23">
        <v>2</v>
      </c>
      <c r="E119" s="23">
        <v>1</v>
      </c>
      <c r="F119" s="23">
        <v>1</v>
      </c>
      <c r="G119" s="23">
        <v>1</v>
      </c>
      <c r="H119" s="23" t="s">
        <v>22</v>
      </c>
      <c r="I119" s="23" t="s">
        <v>22</v>
      </c>
      <c r="J119" s="23">
        <v>1</v>
      </c>
      <c r="K119" s="23"/>
      <c r="L119" s="23"/>
      <c r="M119" s="23"/>
      <c r="N119" s="24"/>
      <c r="O119" s="23">
        <v>442</v>
      </c>
      <c r="R119">
        <f t="shared" si="1"/>
        <v>0.33333333333333331</v>
      </c>
    </row>
    <row r="120" spans="1:18" ht="15.75" thickBot="1">
      <c r="A120" s="35" t="s">
        <v>219</v>
      </c>
      <c r="B120" s="23" t="s">
        <v>674</v>
      </c>
      <c r="C120" s="23">
        <v>9</v>
      </c>
      <c r="D120" s="23">
        <v>2</v>
      </c>
      <c r="E120" s="23">
        <v>7</v>
      </c>
      <c r="F120" s="23">
        <v>2</v>
      </c>
      <c r="G120" s="23">
        <v>2</v>
      </c>
      <c r="H120" s="23" t="s">
        <v>22</v>
      </c>
      <c r="I120" s="23">
        <v>3</v>
      </c>
      <c r="J120" s="23">
        <v>16</v>
      </c>
      <c r="K120" s="23"/>
      <c r="L120" s="23"/>
      <c r="M120" s="23"/>
      <c r="N120" s="24"/>
      <c r="O120" s="23" t="s">
        <v>22</v>
      </c>
      <c r="R120">
        <f t="shared" si="1"/>
        <v>1.7777777777777777</v>
      </c>
    </row>
    <row r="121" spans="1:18" ht="15.75" thickBot="1">
      <c r="A121" s="35" t="s">
        <v>220</v>
      </c>
      <c r="B121" s="23" t="s">
        <v>629</v>
      </c>
      <c r="C121" s="23">
        <v>4</v>
      </c>
      <c r="D121" s="23">
        <v>2</v>
      </c>
      <c r="E121" s="23">
        <v>2</v>
      </c>
      <c r="F121" s="23">
        <v>1</v>
      </c>
      <c r="G121" s="23">
        <v>1</v>
      </c>
      <c r="H121" s="23" t="s">
        <v>22</v>
      </c>
      <c r="I121" s="23" t="s">
        <v>22</v>
      </c>
      <c r="J121" s="23">
        <v>8</v>
      </c>
      <c r="K121" s="23"/>
      <c r="L121" s="23"/>
      <c r="M121" s="23"/>
      <c r="N121" s="24"/>
      <c r="O121" s="23">
        <v>885</v>
      </c>
      <c r="R121">
        <f t="shared" si="1"/>
        <v>2</v>
      </c>
    </row>
    <row r="122" spans="1:18" ht="15.75" thickBot="1">
      <c r="A122" s="35" t="s">
        <v>221</v>
      </c>
      <c r="B122" s="23" t="s">
        <v>624</v>
      </c>
      <c r="C122" s="23">
        <v>4</v>
      </c>
      <c r="D122" s="23">
        <v>2</v>
      </c>
      <c r="E122" s="23">
        <v>2</v>
      </c>
      <c r="F122" s="23">
        <v>1</v>
      </c>
      <c r="G122" s="23">
        <v>1</v>
      </c>
      <c r="H122" s="23" t="s">
        <v>22</v>
      </c>
      <c r="I122" s="23" t="s">
        <v>22</v>
      </c>
      <c r="J122" s="25">
        <v>4.5</v>
      </c>
      <c r="K122" s="23"/>
      <c r="L122" s="23"/>
      <c r="M122" s="23"/>
      <c r="N122" s="24"/>
      <c r="O122" s="23">
        <v>624</v>
      </c>
      <c r="R122">
        <f t="shared" si="1"/>
        <v>1.125</v>
      </c>
    </row>
    <row r="123" spans="1:18" ht="15.75" thickBot="1">
      <c r="A123" s="35" t="s">
        <v>222</v>
      </c>
      <c r="B123" s="23" t="s">
        <v>629</v>
      </c>
      <c r="C123" s="23">
        <v>4</v>
      </c>
      <c r="D123" s="23">
        <v>1</v>
      </c>
      <c r="E123" s="23">
        <v>3</v>
      </c>
      <c r="F123" s="23">
        <v>2</v>
      </c>
      <c r="G123" s="23" t="s">
        <v>22</v>
      </c>
      <c r="H123" s="23" t="s">
        <v>22</v>
      </c>
      <c r="I123" s="23" t="s">
        <v>22</v>
      </c>
      <c r="J123" s="23">
        <v>9</v>
      </c>
      <c r="K123" s="23"/>
      <c r="L123" s="23"/>
      <c r="M123" s="23"/>
      <c r="N123" s="24"/>
      <c r="O123" s="23" t="s">
        <v>22</v>
      </c>
      <c r="R123">
        <f t="shared" si="1"/>
        <v>2.25</v>
      </c>
    </row>
    <row r="124" spans="1:18" ht="15.75" thickBot="1">
      <c r="A124" s="35" t="s">
        <v>223</v>
      </c>
      <c r="B124" s="23" t="s">
        <v>629</v>
      </c>
      <c r="C124" s="23">
        <v>5</v>
      </c>
      <c r="D124" s="23">
        <v>2</v>
      </c>
      <c r="E124" s="23">
        <v>3</v>
      </c>
      <c r="F124" s="23">
        <v>2</v>
      </c>
      <c r="G124" s="23">
        <v>1</v>
      </c>
      <c r="H124" s="23" t="s">
        <v>22</v>
      </c>
      <c r="I124" s="23" t="s">
        <v>22</v>
      </c>
      <c r="J124" s="23">
        <v>8</v>
      </c>
      <c r="K124" s="23"/>
      <c r="L124" s="23"/>
      <c r="M124" s="23"/>
      <c r="N124" s="24"/>
      <c r="O124" s="23">
        <v>897</v>
      </c>
      <c r="R124">
        <f t="shared" si="1"/>
        <v>1.6</v>
      </c>
    </row>
    <row r="125" spans="1:18" ht="15.75" thickBot="1">
      <c r="A125" s="35" t="s">
        <v>224</v>
      </c>
      <c r="B125" s="23" t="s">
        <v>634</v>
      </c>
      <c r="C125" s="23">
        <v>11</v>
      </c>
      <c r="D125" s="23">
        <v>3</v>
      </c>
      <c r="E125" s="23">
        <v>8</v>
      </c>
      <c r="F125" s="23">
        <v>2</v>
      </c>
      <c r="G125" s="23">
        <v>1</v>
      </c>
      <c r="H125" s="23" t="s">
        <v>22</v>
      </c>
      <c r="I125" s="23" t="s">
        <v>22</v>
      </c>
      <c r="J125" s="23">
        <v>17</v>
      </c>
      <c r="K125" s="23"/>
      <c r="L125" s="23"/>
      <c r="M125" s="23"/>
      <c r="N125" s="24"/>
      <c r="O125" s="23" t="s">
        <v>22</v>
      </c>
      <c r="R125">
        <f t="shared" si="1"/>
        <v>1.5454545454545454</v>
      </c>
    </row>
    <row r="126" spans="1:18" ht="15.75" thickBot="1">
      <c r="A126" s="35" t="s">
        <v>225</v>
      </c>
      <c r="B126" s="23" t="s">
        <v>631</v>
      </c>
      <c r="C126" s="23">
        <v>4</v>
      </c>
      <c r="D126" s="23">
        <v>1</v>
      </c>
      <c r="E126" s="23">
        <v>3</v>
      </c>
      <c r="F126" s="23">
        <v>1</v>
      </c>
      <c r="G126" s="23">
        <v>1</v>
      </c>
      <c r="H126" s="23" t="s">
        <v>22</v>
      </c>
      <c r="I126" s="23" t="s">
        <v>22</v>
      </c>
      <c r="J126" s="23">
        <v>4</v>
      </c>
      <c r="K126" s="23"/>
      <c r="L126" s="23"/>
      <c r="M126" s="23"/>
      <c r="N126" s="24"/>
      <c r="O126" s="23">
        <v>348</v>
      </c>
      <c r="R126">
        <f t="shared" si="1"/>
        <v>1</v>
      </c>
    </row>
    <row r="127" spans="1:18" ht="15.75" thickBot="1">
      <c r="A127" s="35"/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4"/>
      <c r="O127" s="23"/>
      <c r="R127" t="e">
        <f t="shared" si="1"/>
        <v>#DIV/0!</v>
      </c>
    </row>
    <row r="128" spans="1:18" ht="15.75" thickBot="1">
      <c r="A128" s="35" t="s">
        <v>226</v>
      </c>
      <c r="B128" s="23" t="s">
        <v>675</v>
      </c>
      <c r="C128" s="23">
        <v>8</v>
      </c>
      <c r="D128" s="23">
        <v>3</v>
      </c>
      <c r="E128" s="23">
        <v>5</v>
      </c>
      <c r="F128" s="23">
        <v>4</v>
      </c>
      <c r="G128" s="23">
        <v>2</v>
      </c>
      <c r="H128" s="23" t="s">
        <v>22</v>
      </c>
      <c r="I128" s="23" t="s">
        <v>22</v>
      </c>
      <c r="J128" s="23">
        <v>8</v>
      </c>
      <c r="K128" s="23"/>
      <c r="L128" s="23"/>
      <c r="M128" s="23"/>
      <c r="N128" s="24"/>
      <c r="O128" s="23">
        <v>452</v>
      </c>
      <c r="R128">
        <f t="shared" si="1"/>
        <v>1</v>
      </c>
    </row>
    <row r="129" spans="1:18" ht="15.75" thickBot="1">
      <c r="A129" s="35"/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4"/>
      <c r="O129" s="23"/>
      <c r="R129" t="e">
        <f t="shared" si="1"/>
        <v>#DIV/0!</v>
      </c>
    </row>
    <row r="130" spans="1:18" ht="15.75" thickBot="1">
      <c r="A130" s="35" t="s">
        <v>227</v>
      </c>
      <c r="B130" s="23" t="s">
        <v>630</v>
      </c>
      <c r="C130" s="23">
        <v>3</v>
      </c>
      <c r="D130" s="23">
        <v>1</v>
      </c>
      <c r="E130" s="23">
        <v>2</v>
      </c>
      <c r="F130" s="23">
        <v>1</v>
      </c>
      <c r="G130" s="23">
        <v>1</v>
      </c>
      <c r="H130" s="23" t="s">
        <v>22</v>
      </c>
      <c r="I130" s="23" t="s">
        <v>22</v>
      </c>
      <c r="J130" s="23">
        <v>7</v>
      </c>
      <c r="K130" s="23"/>
      <c r="L130" s="23"/>
      <c r="M130" s="23"/>
      <c r="N130" s="24"/>
      <c r="O130" s="23" t="s">
        <v>22</v>
      </c>
      <c r="R130">
        <f t="shared" ref="R130:R193" si="2">J130/C130</f>
        <v>2.3333333333333335</v>
      </c>
    </row>
    <row r="131" spans="1:18" ht="15.75" thickBot="1">
      <c r="A131" s="35"/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4"/>
      <c r="O131" s="23"/>
      <c r="R131" t="e">
        <f t="shared" si="2"/>
        <v>#DIV/0!</v>
      </c>
    </row>
    <row r="132" spans="1:18" ht="15.75" thickBot="1">
      <c r="A132" s="35" t="s">
        <v>228</v>
      </c>
      <c r="B132" s="23" t="s">
        <v>676</v>
      </c>
      <c r="C132" s="23">
        <v>8</v>
      </c>
      <c r="D132" s="23">
        <v>1</v>
      </c>
      <c r="E132" s="23">
        <v>7</v>
      </c>
      <c r="F132" s="23">
        <v>1</v>
      </c>
      <c r="G132" s="23">
        <v>2</v>
      </c>
      <c r="H132" s="23" t="s">
        <v>22</v>
      </c>
      <c r="I132" s="23">
        <v>1</v>
      </c>
      <c r="J132" s="23">
        <v>9</v>
      </c>
      <c r="K132" s="23"/>
      <c r="L132" s="23"/>
      <c r="M132" s="23"/>
      <c r="N132" s="24"/>
      <c r="O132" s="23" t="s">
        <v>22</v>
      </c>
      <c r="R132">
        <f t="shared" si="2"/>
        <v>1.125</v>
      </c>
    </row>
    <row r="133" spans="1:18" ht="15.75" thickBot="1">
      <c r="A133" s="35"/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4"/>
      <c r="O133" s="23"/>
      <c r="R133" t="e">
        <f t="shared" si="2"/>
        <v>#DIV/0!</v>
      </c>
    </row>
    <row r="134" spans="1:18" ht="15.75" thickBot="1">
      <c r="A134" s="35" t="s">
        <v>229</v>
      </c>
      <c r="B134" s="23" t="s">
        <v>624</v>
      </c>
      <c r="C134" s="23">
        <v>6</v>
      </c>
      <c r="D134" s="23">
        <v>1</v>
      </c>
      <c r="E134" s="23">
        <v>5</v>
      </c>
      <c r="F134" s="23" t="s">
        <v>22</v>
      </c>
      <c r="G134" s="23">
        <v>1</v>
      </c>
      <c r="H134" s="23" t="s">
        <v>22</v>
      </c>
      <c r="I134" s="23" t="s">
        <v>22</v>
      </c>
      <c r="J134" s="23">
        <v>2</v>
      </c>
      <c r="K134" s="23"/>
      <c r="L134" s="23"/>
      <c r="M134" s="23"/>
      <c r="N134" s="24"/>
      <c r="O134" s="23">
        <v>621</v>
      </c>
      <c r="R134">
        <f t="shared" si="2"/>
        <v>0.33333333333333331</v>
      </c>
    </row>
    <row r="135" spans="1:18" ht="15.75" thickBot="1">
      <c r="A135" s="35"/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4"/>
      <c r="O135" s="23"/>
      <c r="R135" t="e">
        <f t="shared" si="2"/>
        <v>#DIV/0!</v>
      </c>
    </row>
    <row r="136" spans="1:18" ht="15.75" thickBot="1">
      <c r="A136" s="35" t="s">
        <v>230</v>
      </c>
      <c r="B136" s="23" t="s">
        <v>677</v>
      </c>
      <c r="C136" s="23">
        <v>5</v>
      </c>
      <c r="D136" s="23">
        <v>3</v>
      </c>
      <c r="E136" s="23">
        <v>1</v>
      </c>
      <c r="F136" s="23" t="s">
        <v>22</v>
      </c>
      <c r="G136" s="23" t="s">
        <v>22</v>
      </c>
      <c r="H136" s="23" t="s">
        <v>22</v>
      </c>
      <c r="I136" s="23" t="s">
        <v>22</v>
      </c>
      <c r="J136" s="23" t="s">
        <v>22</v>
      </c>
      <c r="K136" s="23"/>
      <c r="L136" s="23"/>
      <c r="M136" s="23"/>
      <c r="N136" s="24"/>
      <c r="O136" s="23" t="s">
        <v>22</v>
      </c>
      <c r="R136" t="e">
        <f t="shared" si="2"/>
        <v>#VALUE!</v>
      </c>
    </row>
    <row r="137" spans="1:18" ht="15.75" thickBot="1">
      <c r="A137" s="35" t="s">
        <v>231</v>
      </c>
      <c r="B137" s="23" t="s">
        <v>644</v>
      </c>
      <c r="C137" s="23">
        <v>4</v>
      </c>
      <c r="D137" s="23">
        <v>1</v>
      </c>
      <c r="E137" s="23">
        <v>3</v>
      </c>
      <c r="F137" s="23">
        <v>2</v>
      </c>
      <c r="G137" s="23">
        <v>1</v>
      </c>
      <c r="H137" s="23" t="s">
        <v>22</v>
      </c>
      <c r="I137" s="23" t="s">
        <v>22</v>
      </c>
      <c r="J137" s="23">
        <v>4</v>
      </c>
      <c r="K137" s="23"/>
      <c r="L137" s="23"/>
      <c r="M137" s="23"/>
      <c r="N137" s="24"/>
      <c r="O137" s="23" t="s">
        <v>22</v>
      </c>
      <c r="R137">
        <f t="shared" si="2"/>
        <v>1</v>
      </c>
    </row>
    <row r="138" spans="1:18" ht="15.75" thickBot="1">
      <c r="A138" s="35"/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4"/>
      <c r="O138" s="23"/>
      <c r="R138" t="e">
        <f t="shared" si="2"/>
        <v>#DIV/0!</v>
      </c>
    </row>
    <row r="139" spans="1:18" ht="15.75" thickBot="1">
      <c r="A139" s="35" t="s">
        <v>232</v>
      </c>
      <c r="B139" s="23" t="s">
        <v>629</v>
      </c>
      <c r="C139" s="23">
        <v>3</v>
      </c>
      <c r="D139" s="23">
        <v>2</v>
      </c>
      <c r="E139" s="23">
        <v>1</v>
      </c>
      <c r="F139" s="23" t="s">
        <v>22</v>
      </c>
      <c r="G139" s="23">
        <v>1</v>
      </c>
      <c r="H139" s="23" t="s">
        <v>22</v>
      </c>
      <c r="I139" s="23" t="s">
        <v>22</v>
      </c>
      <c r="J139" s="25">
        <v>1.5</v>
      </c>
      <c r="K139" s="23"/>
      <c r="L139" s="23"/>
      <c r="M139" s="23"/>
      <c r="N139" s="24"/>
      <c r="O139" s="23">
        <v>886</v>
      </c>
      <c r="R139">
        <f t="shared" si="2"/>
        <v>0.5</v>
      </c>
    </row>
    <row r="140" spans="1:18" ht="15.75" thickBot="1">
      <c r="A140" s="35"/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4"/>
      <c r="O140" s="23"/>
      <c r="R140" t="e">
        <f t="shared" si="2"/>
        <v>#DIV/0!</v>
      </c>
    </row>
    <row r="141" spans="1:18" ht="15.75" thickBot="1">
      <c r="A141" s="35" t="s">
        <v>233</v>
      </c>
      <c r="B141" s="23" t="s">
        <v>678</v>
      </c>
      <c r="C141" s="23">
        <v>3</v>
      </c>
      <c r="D141" s="23">
        <v>2</v>
      </c>
      <c r="E141" s="23">
        <v>1</v>
      </c>
      <c r="F141" s="23" t="s">
        <v>22</v>
      </c>
      <c r="G141" s="23">
        <v>1</v>
      </c>
      <c r="H141" s="23" t="s">
        <v>22</v>
      </c>
      <c r="I141" s="23" t="s">
        <v>22</v>
      </c>
      <c r="J141" s="23">
        <v>6</v>
      </c>
      <c r="K141" s="23"/>
      <c r="L141" s="23"/>
      <c r="M141" s="23"/>
      <c r="N141" s="24"/>
      <c r="O141" s="23">
        <v>57</v>
      </c>
      <c r="R141">
        <f t="shared" si="2"/>
        <v>2</v>
      </c>
    </row>
    <row r="142" spans="1:18" ht="15.75" thickBot="1">
      <c r="A142" s="35" t="s">
        <v>234</v>
      </c>
      <c r="B142" s="23" t="s">
        <v>670</v>
      </c>
      <c r="C142" s="23">
        <v>7</v>
      </c>
      <c r="D142" s="23">
        <v>2</v>
      </c>
      <c r="E142" s="23">
        <v>5</v>
      </c>
      <c r="F142" s="23">
        <v>1</v>
      </c>
      <c r="G142" s="23">
        <v>2</v>
      </c>
      <c r="H142" s="23" t="s">
        <v>22</v>
      </c>
      <c r="I142" s="23" t="s">
        <v>22</v>
      </c>
      <c r="J142" s="23">
        <v>12</v>
      </c>
      <c r="K142" s="23"/>
      <c r="L142" s="23"/>
      <c r="M142" s="23"/>
      <c r="N142" s="24"/>
      <c r="O142" s="23">
        <v>818</v>
      </c>
      <c r="R142">
        <f t="shared" si="2"/>
        <v>1.7142857142857142</v>
      </c>
    </row>
    <row r="143" spans="1:18" ht="15.75" thickBot="1">
      <c r="A143" s="35" t="s">
        <v>235</v>
      </c>
      <c r="B143" s="23" t="s">
        <v>679</v>
      </c>
      <c r="C143" s="23">
        <v>7</v>
      </c>
      <c r="D143" s="23">
        <v>1</v>
      </c>
      <c r="E143" s="23"/>
      <c r="F143" s="23">
        <v>1</v>
      </c>
      <c r="G143" s="23">
        <v>1</v>
      </c>
      <c r="H143" s="23" t="s">
        <v>22</v>
      </c>
      <c r="I143" s="23" t="s">
        <v>22</v>
      </c>
      <c r="J143" s="23">
        <v>10</v>
      </c>
      <c r="K143" s="23"/>
      <c r="L143" s="23"/>
      <c r="M143" s="23"/>
      <c r="N143" s="24"/>
      <c r="O143" s="23" t="s">
        <v>22</v>
      </c>
      <c r="R143">
        <f t="shared" si="2"/>
        <v>1.4285714285714286</v>
      </c>
    </row>
    <row r="144" spans="1:18" ht="15.75" thickBot="1">
      <c r="A144" s="35"/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4"/>
      <c r="O144" s="23"/>
      <c r="R144" t="e">
        <f t="shared" si="2"/>
        <v>#DIV/0!</v>
      </c>
    </row>
    <row r="145" spans="1:18" ht="15.75" thickBot="1">
      <c r="A145" s="35" t="s">
        <v>236</v>
      </c>
      <c r="B145" s="23" t="s">
        <v>680</v>
      </c>
      <c r="C145" s="23">
        <v>2</v>
      </c>
      <c r="D145" s="23" t="s">
        <v>22</v>
      </c>
      <c r="E145" s="23">
        <v>2</v>
      </c>
      <c r="F145" s="23">
        <v>1</v>
      </c>
      <c r="G145" s="23">
        <v>1</v>
      </c>
      <c r="H145" s="23" t="s">
        <v>22</v>
      </c>
      <c r="I145" s="23" t="s">
        <v>22</v>
      </c>
      <c r="J145" s="23">
        <v>4</v>
      </c>
      <c r="K145" s="23"/>
      <c r="L145" s="23"/>
      <c r="M145" s="23"/>
      <c r="N145" s="24"/>
      <c r="O145" s="23" t="s">
        <v>22</v>
      </c>
      <c r="R145">
        <f t="shared" si="2"/>
        <v>2</v>
      </c>
    </row>
    <row r="146" spans="1:18" ht="15.75" thickBot="1">
      <c r="A146" s="35"/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4"/>
      <c r="O146" s="23"/>
      <c r="R146" t="e">
        <f t="shared" si="2"/>
        <v>#DIV/0!</v>
      </c>
    </row>
    <row r="147" spans="1:18" ht="15.75" thickBot="1">
      <c r="A147" s="35" t="s">
        <v>237</v>
      </c>
      <c r="B147" s="23" t="s">
        <v>670</v>
      </c>
      <c r="C147" s="23">
        <v>5</v>
      </c>
      <c r="D147" s="23">
        <v>2</v>
      </c>
      <c r="E147" s="23">
        <v>3</v>
      </c>
      <c r="F147" s="23" t="s">
        <v>681</v>
      </c>
      <c r="G147" s="23">
        <v>1</v>
      </c>
      <c r="H147" s="23" t="s">
        <v>22</v>
      </c>
      <c r="I147" s="23" t="s">
        <v>22</v>
      </c>
      <c r="J147" s="23">
        <v>9</v>
      </c>
      <c r="K147" s="23"/>
      <c r="L147" s="23"/>
      <c r="M147" s="23"/>
      <c r="N147" s="24"/>
      <c r="O147" s="23">
        <v>823</v>
      </c>
      <c r="R147">
        <f t="shared" si="2"/>
        <v>1.8</v>
      </c>
    </row>
    <row r="148" spans="1:18" ht="15.75" thickBot="1">
      <c r="A148" s="35"/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4"/>
      <c r="O148" s="23"/>
      <c r="R148" t="e">
        <f t="shared" si="2"/>
        <v>#DIV/0!</v>
      </c>
    </row>
    <row r="149" spans="1:18" ht="15.75" thickBot="1">
      <c r="A149" s="35" t="s">
        <v>238</v>
      </c>
      <c r="B149" s="23" t="s">
        <v>682</v>
      </c>
      <c r="C149" s="23" t="s">
        <v>639</v>
      </c>
      <c r="D149" s="23" t="s">
        <v>633</v>
      </c>
      <c r="E149" s="23">
        <v>3</v>
      </c>
      <c r="F149" s="23">
        <v>1</v>
      </c>
      <c r="G149" s="23">
        <v>1</v>
      </c>
      <c r="H149" s="23" t="s">
        <v>22</v>
      </c>
      <c r="I149" s="23" t="s">
        <v>22</v>
      </c>
      <c r="J149" s="23">
        <v>6</v>
      </c>
      <c r="K149" s="23"/>
      <c r="L149" s="23"/>
      <c r="M149" s="23"/>
      <c r="N149" s="24"/>
      <c r="O149" s="23">
        <v>815</v>
      </c>
      <c r="R149" t="e">
        <f t="shared" si="2"/>
        <v>#VALUE!</v>
      </c>
    </row>
    <row r="150" spans="1:18" ht="15.75" thickBot="1">
      <c r="A150" s="35" t="s">
        <v>239</v>
      </c>
      <c r="B150" s="23" t="s">
        <v>683</v>
      </c>
      <c r="C150" s="23" t="s">
        <v>648</v>
      </c>
      <c r="D150" s="23" t="s">
        <v>648</v>
      </c>
      <c r="E150" s="23" t="s">
        <v>22</v>
      </c>
      <c r="F150" s="23" t="s">
        <v>22</v>
      </c>
      <c r="G150" s="23" t="s">
        <v>22</v>
      </c>
      <c r="H150" s="23" t="s">
        <v>22</v>
      </c>
      <c r="I150" s="23" t="s">
        <v>22</v>
      </c>
      <c r="J150" s="23">
        <v>2</v>
      </c>
      <c r="K150" s="23"/>
      <c r="L150" s="23"/>
      <c r="M150" s="23"/>
      <c r="N150" s="24"/>
      <c r="O150" s="23">
        <v>454</v>
      </c>
      <c r="R150" t="e">
        <f t="shared" si="2"/>
        <v>#VALUE!</v>
      </c>
    </row>
    <row r="151" spans="1:18" ht="15.75" thickBot="1">
      <c r="A151" s="35" t="s">
        <v>240</v>
      </c>
      <c r="B151" s="23" t="s">
        <v>684</v>
      </c>
      <c r="C151" s="23">
        <v>2</v>
      </c>
      <c r="D151" s="23">
        <v>2</v>
      </c>
      <c r="E151" s="23"/>
      <c r="F151" s="23" t="s">
        <v>22</v>
      </c>
      <c r="G151" s="23">
        <v>1</v>
      </c>
      <c r="H151" s="23" t="s">
        <v>22</v>
      </c>
      <c r="I151" s="23" t="s">
        <v>22</v>
      </c>
      <c r="J151" s="23" t="s">
        <v>639</v>
      </c>
      <c r="K151" s="23"/>
      <c r="L151" s="23"/>
      <c r="M151" s="23"/>
      <c r="N151" s="24"/>
      <c r="O151" s="23">
        <v>715</v>
      </c>
      <c r="R151" t="e">
        <f t="shared" si="2"/>
        <v>#VALUE!</v>
      </c>
    </row>
    <row r="152" spans="1:18" ht="15.75" thickBot="1">
      <c r="A152" s="35" t="s">
        <v>241</v>
      </c>
      <c r="B152" s="23" t="s">
        <v>685</v>
      </c>
      <c r="C152" s="23">
        <v>2</v>
      </c>
      <c r="D152" s="23" t="s">
        <v>22</v>
      </c>
      <c r="E152" s="23">
        <v>2</v>
      </c>
      <c r="F152" s="23" t="s">
        <v>22</v>
      </c>
      <c r="G152" s="23">
        <v>1</v>
      </c>
      <c r="H152" s="23" t="s">
        <v>22</v>
      </c>
      <c r="I152" s="23" t="s">
        <v>22</v>
      </c>
      <c r="J152" s="23">
        <v>4</v>
      </c>
      <c r="K152" s="23"/>
      <c r="L152" s="23"/>
      <c r="M152" s="23"/>
      <c r="N152" s="24"/>
      <c r="O152" s="23" t="s">
        <v>22</v>
      </c>
      <c r="R152">
        <f t="shared" si="2"/>
        <v>2</v>
      </c>
    </row>
    <row r="153" spans="1:18" ht="15.75" thickBot="1">
      <c r="A153" s="35"/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4"/>
      <c r="O153" s="23"/>
      <c r="R153" t="e">
        <f t="shared" si="2"/>
        <v>#DIV/0!</v>
      </c>
    </row>
    <row r="154" spans="1:18" ht="26.25" thickBot="1">
      <c r="A154" s="35" t="s">
        <v>242</v>
      </c>
      <c r="B154" s="23" t="s">
        <v>686</v>
      </c>
      <c r="C154" s="23">
        <v>2</v>
      </c>
      <c r="D154" s="23" t="s">
        <v>22</v>
      </c>
      <c r="E154" s="23"/>
      <c r="F154" s="23">
        <v>2</v>
      </c>
      <c r="G154" s="23">
        <v>1</v>
      </c>
      <c r="H154" s="23" t="s">
        <v>22</v>
      </c>
      <c r="I154" s="23" t="s">
        <v>22</v>
      </c>
      <c r="J154" s="23"/>
      <c r="K154" s="23"/>
      <c r="L154" s="23"/>
      <c r="M154" s="23"/>
      <c r="N154" s="24"/>
      <c r="O154" s="23" t="s">
        <v>687</v>
      </c>
      <c r="R154">
        <f t="shared" si="2"/>
        <v>0</v>
      </c>
    </row>
    <row r="155" spans="1:18" ht="15.75" thickBot="1">
      <c r="A155" s="35" t="s">
        <v>243</v>
      </c>
      <c r="B155" s="23" t="s">
        <v>644</v>
      </c>
      <c r="C155" s="23">
        <v>5</v>
      </c>
      <c r="D155" s="23">
        <v>2</v>
      </c>
      <c r="E155" s="23">
        <v>3</v>
      </c>
      <c r="F155" s="23" t="s">
        <v>22</v>
      </c>
      <c r="G155" s="23">
        <v>1</v>
      </c>
      <c r="H155" s="23" t="s">
        <v>22</v>
      </c>
      <c r="I155" s="23" t="s">
        <v>22</v>
      </c>
      <c r="J155" s="25">
        <v>4.5</v>
      </c>
      <c r="K155" s="23"/>
      <c r="L155" s="23"/>
      <c r="M155" s="23"/>
      <c r="N155" s="24"/>
      <c r="O155" s="23">
        <v>465</v>
      </c>
      <c r="R155">
        <f t="shared" si="2"/>
        <v>0.9</v>
      </c>
    </row>
    <row r="156" spans="1:18" ht="15.75" thickBot="1">
      <c r="A156" s="35"/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4"/>
      <c r="O156" s="23"/>
      <c r="R156" t="e">
        <f t="shared" si="2"/>
        <v>#DIV/0!</v>
      </c>
    </row>
    <row r="157" spans="1:18" ht="15.75" thickBot="1">
      <c r="A157" s="35" t="s">
        <v>244</v>
      </c>
      <c r="B157" s="23" t="s">
        <v>634</v>
      </c>
      <c r="C157" s="23">
        <v>7</v>
      </c>
      <c r="D157" s="23">
        <v>2</v>
      </c>
      <c r="E157" s="23">
        <v>5</v>
      </c>
      <c r="F157" s="23">
        <v>2</v>
      </c>
      <c r="G157" s="23">
        <v>1</v>
      </c>
      <c r="H157" s="23" t="s">
        <v>22</v>
      </c>
      <c r="I157" s="23" t="s">
        <v>22</v>
      </c>
      <c r="J157" s="23">
        <v>10</v>
      </c>
      <c r="K157" s="23"/>
      <c r="L157" s="23"/>
      <c r="M157" s="23"/>
      <c r="N157" s="24"/>
      <c r="O157" s="23" t="s">
        <v>22</v>
      </c>
      <c r="R157">
        <f t="shared" si="2"/>
        <v>1.4285714285714286</v>
      </c>
    </row>
    <row r="158" spans="1:18" ht="15.75" thickBot="1">
      <c r="A158" s="35" t="s">
        <v>245</v>
      </c>
      <c r="B158" s="23" t="s">
        <v>631</v>
      </c>
      <c r="C158" s="23">
        <v>4</v>
      </c>
      <c r="D158" s="23" t="s">
        <v>22</v>
      </c>
      <c r="E158" s="23">
        <v>4</v>
      </c>
      <c r="F158" s="23">
        <v>1</v>
      </c>
      <c r="G158" s="23">
        <v>1</v>
      </c>
      <c r="H158" s="23" t="s">
        <v>22</v>
      </c>
      <c r="I158" s="23" t="s">
        <v>22</v>
      </c>
      <c r="J158" s="23">
        <v>4</v>
      </c>
      <c r="K158" s="23"/>
      <c r="L158" s="23"/>
      <c r="M158" s="23"/>
      <c r="N158" s="24"/>
      <c r="O158" s="23">
        <v>359</v>
      </c>
      <c r="R158">
        <f t="shared" si="2"/>
        <v>1</v>
      </c>
    </row>
    <row r="159" spans="1:18" ht="15.75" thickBot="1">
      <c r="A159" s="35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4"/>
      <c r="O159" s="23"/>
      <c r="R159" t="e">
        <f t="shared" si="2"/>
        <v>#DIV/0!</v>
      </c>
    </row>
    <row r="160" spans="1:18" ht="15.75" thickBot="1">
      <c r="A160" s="35" t="s">
        <v>246</v>
      </c>
      <c r="B160" s="23" t="s">
        <v>636</v>
      </c>
      <c r="C160" s="23">
        <v>3</v>
      </c>
      <c r="D160" s="23">
        <v>1</v>
      </c>
      <c r="E160" s="23">
        <v>2</v>
      </c>
      <c r="F160" s="23" t="s">
        <v>22</v>
      </c>
      <c r="G160" s="23" t="s">
        <v>22</v>
      </c>
      <c r="H160" s="23" t="s">
        <v>22</v>
      </c>
      <c r="I160" s="23" t="s">
        <v>22</v>
      </c>
      <c r="J160" s="25">
        <v>2.5</v>
      </c>
      <c r="K160" s="23"/>
      <c r="L160" s="23"/>
      <c r="M160" s="23"/>
      <c r="N160" s="24"/>
      <c r="O160" s="23" t="s">
        <v>22</v>
      </c>
      <c r="R160">
        <f t="shared" si="2"/>
        <v>0.83333333333333337</v>
      </c>
    </row>
    <row r="161" spans="1:18" ht="15.75" thickBot="1">
      <c r="A161" s="35" t="s">
        <v>247</v>
      </c>
      <c r="B161" s="23" t="s">
        <v>688</v>
      </c>
      <c r="C161" s="23">
        <v>6</v>
      </c>
      <c r="D161" s="23">
        <v>2</v>
      </c>
      <c r="E161" s="23">
        <v>4</v>
      </c>
      <c r="F161" s="23" t="s">
        <v>51</v>
      </c>
      <c r="G161" s="23">
        <v>1</v>
      </c>
      <c r="H161" s="23" t="s">
        <v>22</v>
      </c>
      <c r="I161" s="23" t="s">
        <v>22</v>
      </c>
      <c r="J161" s="23">
        <v>8</v>
      </c>
      <c r="K161" s="23"/>
      <c r="L161" s="23"/>
      <c r="M161" s="23"/>
      <c r="N161" s="24"/>
      <c r="O161" s="23">
        <v>444</v>
      </c>
      <c r="R161">
        <f t="shared" si="2"/>
        <v>1.3333333333333333</v>
      </c>
    </row>
    <row r="162" spans="1:18" ht="15.75" thickBot="1">
      <c r="A162" s="35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4"/>
      <c r="O162" s="23"/>
      <c r="R162" t="e">
        <f t="shared" si="2"/>
        <v>#DIV/0!</v>
      </c>
    </row>
    <row r="163" spans="1:18" ht="15.75" thickBot="1">
      <c r="A163" s="35" t="s">
        <v>248</v>
      </c>
      <c r="B163" s="23" t="s">
        <v>689</v>
      </c>
      <c r="C163" s="23">
        <v>5</v>
      </c>
      <c r="D163" s="23" t="s">
        <v>22</v>
      </c>
      <c r="E163" s="23"/>
      <c r="F163" s="23">
        <v>1</v>
      </c>
      <c r="G163" s="23">
        <v>1</v>
      </c>
      <c r="H163" s="23" t="s">
        <v>22</v>
      </c>
      <c r="I163" s="23" t="s">
        <v>22</v>
      </c>
      <c r="J163" s="23">
        <v>8</v>
      </c>
      <c r="K163" s="23"/>
      <c r="L163" s="23"/>
      <c r="M163" s="23"/>
      <c r="N163" s="24"/>
      <c r="O163" s="23">
        <v>702</v>
      </c>
      <c r="R163">
        <f t="shared" si="2"/>
        <v>1.6</v>
      </c>
    </row>
    <row r="164" spans="1:18" ht="15.75" thickBot="1">
      <c r="A164" s="35" t="s">
        <v>249</v>
      </c>
      <c r="B164" s="23" t="s">
        <v>690</v>
      </c>
      <c r="C164" s="23">
        <v>5</v>
      </c>
      <c r="D164" s="23">
        <v>2</v>
      </c>
      <c r="E164" s="23"/>
      <c r="F164" s="23">
        <v>2</v>
      </c>
      <c r="G164" s="23">
        <v>1</v>
      </c>
      <c r="H164" s="23" t="s">
        <v>22</v>
      </c>
      <c r="I164" s="23" t="s">
        <v>22</v>
      </c>
      <c r="J164" s="23" t="s">
        <v>691</v>
      </c>
      <c r="K164" s="23"/>
      <c r="L164" s="23"/>
      <c r="M164" s="23"/>
      <c r="N164" s="24"/>
      <c r="O164" s="23">
        <v>725</v>
      </c>
      <c r="R164" t="e">
        <f t="shared" si="2"/>
        <v>#VALUE!</v>
      </c>
    </row>
    <row r="165" spans="1:18" ht="15.75" thickBot="1">
      <c r="A165" s="35" t="s">
        <v>250</v>
      </c>
      <c r="B165" s="23" t="s">
        <v>692</v>
      </c>
      <c r="C165" s="23">
        <v>4</v>
      </c>
      <c r="D165" s="23" t="s">
        <v>22</v>
      </c>
      <c r="E165" s="23"/>
      <c r="F165" s="23">
        <v>1</v>
      </c>
      <c r="G165" s="23">
        <v>1</v>
      </c>
      <c r="H165" s="23" t="s">
        <v>22</v>
      </c>
      <c r="I165" s="23" t="s">
        <v>22</v>
      </c>
      <c r="J165" s="23" t="s">
        <v>652</v>
      </c>
      <c r="K165" s="23"/>
      <c r="L165" s="23"/>
      <c r="M165" s="23"/>
      <c r="N165" s="24"/>
      <c r="O165" s="23">
        <v>700</v>
      </c>
      <c r="R165" t="e">
        <f t="shared" si="2"/>
        <v>#VALUE!</v>
      </c>
    </row>
    <row r="166" spans="1:18" ht="26.25" thickBot="1">
      <c r="A166" s="35" t="s">
        <v>251</v>
      </c>
      <c r="B166" s="23" t="s">
        <v>693</v>
      </c>
      <c r="C166" s="23">
        <v>4</v>
      </c>
      <c r="D166" s="23" t="s">
        <v>22</v>
      </c>
      <c r="E166" s="23"/>
      <c r="F166" s="23">
        <v>1</v>
      </c>
      <c r="G166" s="23"/>
      <c r="H166" s="23" t="s">
        <v>22</v>
      </c>
      <c r="I166" s="23" t="s">
        <v>22</v>
      </c>
      <c r="J166" s="23">
        <v>3</v>
      </c>
      <c r="K166" s="23"/>
      <c r="L166" s="23"/>
      <c r="M166" s="23"/>
      <c r="N166" s="24" t="s">
        <v>694</v>
      </c>
      <c r="O166" s="23">
        <v>705</v>
      </c>
      <c r="R166">
        <f t="shared" si="2"/>
        <v>0.75</v>
      </c>
    </row>
    <row r="167" spans="1:18" ht="15.75" thickBot="1">
      <c r="A167" s="35" t="s">
        <v>252</v>
      </c>
      <c r="B167" s="23" t="s">
        <v>643</v>
      </c>
      <c r="C167" s="23">
        <v>9</v>
      </c>
      <c r="D167" s="23">
        <v>1</v>
      </c>
      <c r="E167" s="23">
        <v>8</v>
      </c>
      <c r="F167" s="23">
        <v>1</v>
      </c>
      <c r="G167" s="23">
        <v>2</v>
      </c>
      <c r="H167" s="23" t="s">
        <v>22</v>
      </c>
      <c r="I167" s="23">
        <v>2</v>
      </c>
      <c r="J167" s="23">
        <v>12</v>
      </c>
      <c r="K167" s="23"/>
      <c r="L167" s="23"/>
      <c r="M167" s="23"/>
      <c r="N167" s="24"/>
      <c r="O167" s="23" t="s">
        <v>22</v>
      </c>
      <c r="R167">
        <f t="shared" si="2"/>
        <v>1.3333333333333333</v>
      </c>
    </row>
    <row r="168" spans="1:18" ht="15.75" thickBot="1">
      <c r="A168" s="35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4"/>
      <c r="O168" s="23"/>
      <c r="R168" t="e">
        <f t="shared" si="2"/>
        <v>#DIV/0!</v>
      </c>
    </row>
    <row r="169" spans="1:18" ht="15.75" thickBot="1">
      <c r="A169" s="35" t="s">
        <v>253</v>
      </c>
      <c r="B169" s="23" t="s">
        <v>644</v>
      </c>
      <c r="C169" s="23">
        <v>8</v>
      </c>
      <c r="D169" s="23">
        <v>2</v>
      </c>
      <c r="E169" s="23">
        <v>6</v>
      </c>
      <c r="F169" s="23">
        <v>1</v>
      </c>
      <c r="G169" s="23">
        <v>1</v>
      </c>
      <c r="H169" s="23" t="s">
        <v>22</v>
      </c>
      <c r="I169" s="23" t="s">
        <v>22</v>
      </c>
      <c r="J169" s="23" t="s">
        <v>22</v>
      </c>
      <c r="K169" s="23"/>
      <c r="L169" s="23"/>
      <c r="M169" s="23"/>
      <c r="N169" s="24"/>
      <c r="O169" s="23" t="s">
        <v>657</v>
      </c>
      <c r="R169" t="e">
        <f t="shared" si="2"/>
        <v>#VALUE!</v>
      </c>
    </row>
    <row r="170" spans="1:18" ht="15.75" thickBot="1">
      <c r="A170" s="35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4"/>
      <c r="O170" s="23"/>
      <c r="R170" t="e">
        <f t="shared" si="2"/>
        <v>#DIV/0!</v>
      </c>
    </row>
    <row r="171" spans="1:18" ht="15.75" thickBot="1">
      <c r="A171" s="35" t="s">
        <v>254</v>
      </c>
      <c r="B171" s="23" t="s">
        <v>695</v>
      </c>
      <c r="C171" s="23">
        <v>6</v>
      </c>
      <c r="D171" s="23">
        <v>2</v>
      </c>
      <c r="E171" s="23">
        <v>4</v>
      </c>
      <c r="F171" s="23">
        <v>1</v>
      </c>
      <c r="G171" s="23">
        <v>1</v>
      </c>
      <c r="H171" s="23" t="s">
        <v>22</v>
      </c>
      <c r="I171" s="23" t="s">
        <v>22</v>
      </c>
      <c r="J171" s="25">
        <v>1.375</v>
      </c>
      <c r="K171" s="23"/>
      <c r="L171" s="23"/>
      <c r="M171" s="23"/>
      <c r="N171" s="24"/>
      <c r="O171" s="23">
        <v>165</v>
      </c>
      <c r="R171">
        <f t="shared" si="2"/>
        <v>0.22916666666666666</v>
      </c>
    </row>
    <row r="172" spans="1:18" ht="15.75" thickBot="1">
      <c r="A172" s="35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4"/>
      <c r="O172" s="23"/>
      <c r="R172" t="e">
        <f t="shared" si="2"/>
        <v>#DIV/0!</v>
      </c>
    </row>
    <row r="173" spans="1:18" ht="15.75" thickBot="1">
      <c r="A173" s="35" t="s">
        <v>255</v>
      </c>
      <c r="B173" s="23" t="s">
        <v>696</v>
      </c>
      <c r="C173" s="23">
        <v>2</v>
      </c>
      <c r="D173" s="23" t="s">
        <v>22</v>
      </c>
      <c r="E173" s="23">
        <v>2</v>
      </c>
      <c r="F173" s="23" t="s">
        <v>22</v>
      </c>
      <c r="G173" s="23">
        <v>1</v>
      </c>
      <c r="H173" s="23" t="s">
        <v>22</v>
      </c>
      <c r="I173" s="23" t="s">
        <v>22</v>
      </c>
      <c r="J173" s="23">
        <v>6</v>
      </c>
      <c r="K173" s="23"/>
      <c r="L173" s="23"/>
      <c r="M173" s="23"/>
      <c r="N173" s="24"/>
      <c r="O173" s="23">
        <v>644</v>
      </c>
      <c r="R173">
        <f t="shared" si="2"/>
        <v>3</v>
      </c>
    </row>
    <row r="174" spans="1:18" ht="15.75" thickBot="1">
      <c r="A174" s="35" t="s">
        <v>256</v>
      </c>
      <c r="B174" s="23" t="s">
        <v>697</v>
      </c>
      <c r="C174" s="23">
        <v>6</v>
      </c>
      <c r="D174" s="23">
        <v>1</v>
      </c>
      <c r="E174" s="23">
        <v>5</v>
      </c>
      <c r="F174" s="23">
        <v>1</v>
      </c>
      <c r="G174" s="23">
        <v>1</v>
      </c>
      <c r="H174" s="23" t="s">
        <v>22</v>
      </c>
      <c r="I174" s="23" t="s">
        <v>22</v>
      </c>
      <c r="J174" s="23">
        <v>6</v>
      </c>
      <c r="K174" s="23"/>
      <c r="L174" s="23"/>
      <c r="M174" s="23"/>
      <c r="N174" s="24"/>
      <c r="O174" s="23">
        <v>647</v>
      </c>
      <c r="R174">
        <f t="shared" si="2"/>
        <v>1</v>
      </c>
    </row>
    <row r="175" spans="1:18" ht="15.75" thickBot="1">
      <c r="A175" s="35" t="s">
        <v>257</v>
      </c>
      <c r="B175" s="23" t="s">
        <v>698</v>
      </c>
      <c r="C175" s="23">
        <v>7</v>
      </c>
      <c r="D175" s="23">
        <v>2</v>
      </c>
      <c r="E175" s="23">
        <v>5</v>
      </c>
      <c r="F175" s="23">
        <v>2</v>
      </c>
      <c r="G175" s="23">
        <v>2</v>
      </c>
      <c r="H175" s="23" t="s">
        <v>22</v>
      </c>
      <c r="I175" s="23" t="s">
        <v>22</v>
      </c>
      <c r="J175" s="23">
        <v>6</v>
      </c>
      <c r="K175" s="23"/>
      <c r="L175" s="23"/>
      <c r="M175" s="23"/>
      <c r="N175" s="24"/>
      <c r="O175" s="23" t="s">
        <v>22</v>
      </c>
      <c r="R175">
        <f t="shared" si="2"/>
        <v>0.8571428571428571</v>
      </c>
    </row>
    <row r="176" spans="1:18" ht="15.75" thickBot="1">
      <c r="A176" s="35" t="s">
        <v>258</v>
      </c>
      <c r="B176" s="23" t="s">
        <v>634</v>
      </c>
      <c r="C176" s="23">
        <v>8</v>
      </c>
      <c r="D176" s="23">
        <v>2</v>
      </c>
      <c r="E176" s="23">
        <v>6</v>
      </c>
      <c r="F176" s="23">
        <v>1</v>
      </c>
      <c r="G176" s="23">
        <v>1</v>
      </c>
      <c r="H176" s="23" t="s">
        <v>22</v>
      </c>
      <c r="I176" s="23" t="s">
        <v>22</v>
      </c>
      <c r="J176" s="23">
        <v>8</v>
      </c>
      <c r="K176" s="23"/>
      <c r="L176" s="23"/>
      <c r="M176" s="23"/>
      <c r="N176" s="24"/>
      <c r="O176" s="23">
        <v>258</v>
      </c>
      <c r="R176">
        <f t="shared" si="2"/>
        <v>1</v>
      </c>
    </row>
    <row r="177" spans="1:18" ht="15.75" thickBot="1">
      <c r="A177" s="35" t="s">
        <v>259</v>
      </c>
      <c r="B177" s="23" t="s">
        <v>636</v>
      </c>
      <c r="C177" s="23">
        <v>6</v>
      </c>
      <c r="D177" s="23">
        <v>3</v>
      </c>
      <c r="E177" s="23">
        <v>3</v>
      </c>
      <c r="F177" s="23">
        <v>1</v>
      </c>
      <c r="G177" s="23">
        <v>1</v>
      </c>
      <c r="H177" s="23" t="s">
        <v>22</v>
      </c>
      <c r="I177" s="23" t="s">
        <v>22</v>
      </c>
      <c r="J177" s="25">
        <v>4.5</v>
      </c>
      <c r="K177" s="23"/>
      <c r="L177" s="23"/>
      <c r="M177" s="23"/>
      <c r="N177" s="24"/>
      <c r="O177" s="23">
        <v>300</v>
      </c>
      <c r="R177">
        <f t="shared" si="2"/>
        <v>0.75</v>
      </c>
    </row>
    <row r="178" spans="1:18" ht="15.75" thickBot="1">
      <c r="A178" s="35" t="s">
        <v>260</v>
      </c>
      <c r="B178" s="23" t="s">
        <v>636</v>
      </c>
      <c r="C178" s="23">
        <v>6</v>
      </c>
      <c r="D178" s="23">
        <v>1</v>
      </c>
      <c r="E178" s="23">
        <v>5</v>
      </c>
      <c r="F178" s="23">
        <v>2</v>
      </c>
      <c r="G178" s="23">
        <v>1</v>
      </c>
      <c r="H178" s="23" t="s">
        <v>22</v>
      </c>
      <c r="I178" s="23">
        <v>1</v>
      </c>
      <c r="J178" s="23">
        <v>8</v>
      </c>
      <c r="K178" s="23"/>
      <c r="L178" s="23"/>
      <c r="M178" s="23"/>
      <c r="N178" s="24"/>
      <c r="O178" s="23">
        <v>317</v>
      </c>
      <c r="R178">
        <f t="shared" si="2"/>
        <v>1.3333333333333333</v>
      </c>
    </row>
    <row r="179" spans="1:18" ht="15.75" thickBot="1">
      <c r="A179" s="35" t="s">
        <v>261</v>
      </c>
      <c r="B179" s="23" t="s">
        <v>636</v>
      </c>
      <c r="C179" s="23">
        <v>6</v>
      </c>
      <c r="D179" s="23">
        <v>2</v>
      </c>
      <c r="E179" s="23">
        <v>4</v>
      </c>
      <c r="F179" s="23">
        <v>1</v>
      </c>
      <c r="G179" s="23" t="s">
        <v>22</v>
      </c>
      <c r="H179" s="23" t="s">
        <v>22</v>
      </c>
      <c r="I179" s="23" t="s">
        <v>22</v>
      </c>
      <c r="J179" s="23">
        <v>4</v>
      </c>
      <c r="K179" s="23"/>
      <c r="L179" s="23"/>
      <c r="M179" s="23"/>
      <c r="N179" s="24"/>
      <c r="O179" s="23" t="s">
        <v>22</v>
      </c>
      <c r="R179">
        <f t="shared" si="2"/>
        <v>0.66666666666666663</v>
      </c>
    </row>
    <row r="180" spans="1:18" ht="15.75" thickBot="1">
      <c r="A180" s="35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4"/>
      <c r="O180" s="23"/>
      <c r="R180" t="e">
        <f t="shared" si="2"/>
        <v>#DIV/0!</v>
      </c>
    </row>
    <row r="181" spans="1:18" ht="15.75" thickBot="1">
      <c r="A181" s="35" t="s">
        <v>262</v>
      </c>
      <c r="B181" s="23" t="s">
        <v>634</v>
      </c>
      <c r="C181" s="23">
        <v>4</v>
      </c>
      <c r="D181" s="23">
        <v>2</v>
      </c>
      <c r="E181" s="23">
        <v>2</v>
      </c>
      <c r="F181" s="23" t="s">
        <v>22</v>
      </c>
      <c r="G181" s="23">
        <v>1</v>
      </c>
      <c r="H181" s="23" t="s">
        <v>22</v>
      </c>
      <c r="I181" s="23" t="s">
        <v>22</v>
      </c>
      <c r="J181" s="23">
        <v>2</v>
      </c>
      <c r="K181" s="23"/>
      <c r="L181" s="23"/>
      <c r="M181" s="23"/>
      <c r="N181" s="24"/>
      <c r="O181" s="23" t="s">
        <v>22</v>
      </c>
      <c r="R181">
        <f t="shared" si="2"/>
        <v>0.5</v>
      </c>
    </row>
    <row r="182" spans="1:18" ht="15.75" thickBot="1">
      <c r="A182" s="35" t="s">
        <v>263</v>
      </c>
      <c r="B182" s="23" t="s">
        <v>699</v>
      </c>
      <c r="C182" s="23">
        <v>2</v>
      </c>
      <c r="D182" s="23">
        <v>1</v>
      </c>
      <c r="E182" s="23">
        <v>1</v>
      </c>
      <c r="F182" s="23" t="s">
        <v>22</v>
      </c>
      <c r="G182" s="23" t="s">
        <v>22</v>
      </c>
      <c r="H182" s="23" t="s">
        <v>22</v>
      </c>
      <c r="I182" s="23" t="s">
        <v>22</v>
      </c>
      <c r="J182" s="23" t="s">
        <v>22</v>
      </c>
      <c r="K182" s="23"/>
      <c r="L182" s="23"/>
      <c r="M182" s="23"/>
      <c r="N182" s="24"/>
      <c r="O182" s="23" t="s">
        <v>22</v>
      </c>
      <c r="R182" t="e">
        <f t="shared" si="2"/>
        <v>#VALUE!</v>
      </c>
    </row>
    <row r="183" spans="1:18" ht="15.75" thickBot="1">
      <c r="A183" s="35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4"/>
      <c r="O183" s="23"/>
      <c r="R183" t="e">
        <f t="shared" si="2"/>
        <v>#DIV/0!</v>
      </c>
    </row>
    <row r="184" spans="1:18" ht="15.75" thickBot="1">
      <c r="A184" s="35" t="s">
        <v>264</v>
      </c>
      <c r="B184" s="23" t="s">
        <v>641</v>
      </c>
      <c r="C184" s="23">
        <v>5</v>
      </c>
      <c r="D184" s="23">
        <v>1</v>
      </c>
      <c r="E184" s="23">
        <v>4</v>
      </c>
      <c r="F184" s="23">
        <v>1</v>
      </c>
      <c r="G184" s="23">
        <v>1</v>
      </c>
      <c r="H184" s="23" t="s">
        <v>22</v>
      </c>
      <c r="I184" s="23" t="s">
        <v>22</v>
      </c>
      <c r="J184" s="23">
        <v>5</v>
      </c>
      <c r="K184" s="23"/>
      <c r="L184" s="23"/>
      <c r="M184" s="23"/>
      <c r="N184" s="24"/>
      <c r="O184" s="23" t="s">
        <v>22</v>
      </c>
      <c r="R184">
        <f t="shared" si="2"/>
        <v>1</v>
      </c>
    </row>
    <row r="185" spans="1:18" ht="15.75" thickBot="1">
      <c r="A185" s="35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4"/>
      <c r="O185" s="23"/>
      <c r="R185" t="e">
        <f t="shared" si="2"/>
        <v>#DIV/0!</v>
      </c>
    </row>
    <row r="186" spans="1:18" ht="15.75" thickBot="1">
      <c r="A186" s="35" t="s">
        <v>265</v>
      </c>
      <c r="B186" s="23" t="s">
        <v>631</v>
      </c>
      <c r="C186" s="23">
        <v>4</v>
      </c>
      <c r="D186" s="23">
        <v>1</v>
      </c>
      <c r="E186" s="23">
        <v>3</v>
      </c>
      <c r="F186" s="23">
        <v>1</v>
      </c>
      <c r="G186" s="23">
        <v>1</v>
      </c>
      <c r="H186" s="23" t="s">
        <v>22</v>
      </c>
      <c r="I186" s="23" t="s">
        <v>22</v>
      </c>
      <c r="J186" s="23">
        <v>8</v>
      </c>
      <c r="K186" s="23"/>
      <c r="L186" s="23"/>
      <c r="M186" s="23"/>
      <c r="N186" s="24"/>
      <c r="O186" s="23">
        <v>354</v>
      </c>
      <c r="R186">
        <f t="shared" si="2"/>
        <v>2</v>
      </c>
    </row>
    <row r="187" spans="1:18" ht="15.75" thickBot="1">
      <c r="A187" s="35" t="s">
        <v>266</v>
      </c>
      <c r="B187" s="23" t="s">
        <v>631</v>
      </c>
      <c r="C187" s="23">
        <v>4</v>
      </c>
      <c r="D187" s="23">
        <v>1</v>
      </c>
      <c r="E187" s="23">
        <v>3</v>
      </c>
      <c r="F187" s="23">
        <v>1</v>
      </c>
      <c r="G187" s="23">
        <v>1</v>
      </c>
      <c r="H187" s="23" t="s">
        <v>22</v>
      </c>
      <c r="I187" s="23" t="s">
        <v>22</v>
      </c>
      <c r="J187" s="23">
        <v>6</v>
      </c>
      <c r="K187" s="23"/>
      <c r="L187" s="23"/>
      <c r="M187" s="23"/>
      <c r="N187" s="24"/>
      <c r="O187" s="23">
        <v>356</v>
      </c>
      <c r="R187">
        <f t="shared" si="2"/>
        <v>1.5</v>
      </c>
    </row>
    <row r="188" spans="1:18" ht="15.75" thickBot="1">
      <c r="A188" s="35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4"/>
      <c r="O188" s="23"/>
      <c r="R188" t="e">
        <f t="shared" si="2"/>
        <v>#DIV/0!</v>
      </c>
    </row>
    <row r="189" spans="1:18" ht="15.75" thickBot="1">
      <c r="A189" s="35" t="s">
        <v>267</v>
      </c>
      <c r="B189" s="23" t="s">
        <v>700</v>
      </c>
      <c r="C189" s="23">
        <v>3</v>
      </c>
      <c r="D189" s="23">
        <v>2</v>
      </c>
      <c r="E189" s="23">
        <v>1</v>
      </c>
      <c r="F189" s="23" t="s">
        <v>22</v>
      </c>
      <c r="G189" s="23" t="s">
        <v>22</v>
      </c>
      <c r="H189" s="23" t="s">
        <v>22</v>
      </c>
      <c r="I189" s="23" t="s">
        <v>22</v>
      </c>
      <c r="J189" s="23" t="s">
        <v>22</v>
      </c>
      <c r="K189" s="23"/>
      <c r="L189" s="23"/>
      <c r="M189" s="23"/>
      <c r="N189" s="24"/>
      <c r="O189" s="23" t="s">
        <v>22</v>
      </c>
      <c r="R189" t="e">
        <f t="shared" si="2"/>
        <v>#VALUE!</v>
      </c>
    </row>
    <row r="190" spans="1:18" ht="15.75" thickBot="1">
      <c r="A190" s="35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4"/>
      <c r="O190" s="23"/>
      <c r="R190" t="e">
        <f t="shared" si="2"/>
        <v>#DIV/0!</v>
      </c>
    </row>
    <row r="191" spans="1:18" ht="15.75" thickBot="1">
      <c r="A191" s="35" t="s">
        <v>268</v>
      </c>
      <c r="B191" s="23" t="s">
        <v>701</v>
      </c>
      <c r="C191" s="23">
        <v>3</v>
      </c>
      <c r="D191" s="23">
        <v>1</v>
      </c>
      <c r="E191" s="23">
        <v>2</v>
      </c>
      <c r="F191" s="23">
        <v>1</v>
      </c>
      <c r="G191" s="23">
        <v>1</v>
      </c>
      <c r="H191" s="23" t="s">
        <v>22</v>
      </c>
      <c r="I191" s="23">
        <v>1</v>
      </c>
      <c r="J191" s="23">
        <v>5</v>
      </c>
      <c r="K191" s="23"/>
      <c r="L191" s="23"/>
      <c r="M191" s="23"/>
      <c r="N191" s="24"/>
      <c r="O191" s="23">
        <v>230</v>
      </c>
      <c r="R191">
        <f t="shared" si="2"/>
        <v>1.6666666666666667</v>
      </c>
    </row>
    <row r="192" spans="1:18" ht="15.75" thickBot="1">
      <c r="A192" s="35" t="s">
        <v>269</v>
      </c>
      <c r="B192" s="23" t="s">
        <v>702</v>
      </c>
      <c r="C192" s="23">
        <v>5</v>
      </c>
      <c r="D192" s="23">
        <v>2</v>
      </c>
      <c r="E192" s="23">
        <v>3</v>
      </c>
      <c r="F192" s="23">
        <v>2</v>
      </c>
      <c r="G192" s="23" t="s">
        <v>22</v>
      </c>
      <c r="H192" s="23" t="s">
        <v>22</v>
      </c>
      <c r="I192" s="23" t="s">
        <v>22</v>
      </c>
      <c r="J192" s="23">
        <v>8</v>
      </c>
      <c r="K192" s="23"/>
      <c r="L192" s="23"/>
      <c r="M192" s="23"/>
      <c r="N192" s="24"/>
      <c r="O192" s="23">
        <v>739</v>
      </c>
      <c r="R192">
        <f t="shared" si="2"/>
        <v>1.6</v>
      </c>
    </row>
    <row r="193" spans="1:18" ht="15.75" thickBot="1">
      <c r="A193" s="35" t="s">
        <v>270</v>
      </c>
      <c r="B193" s="23" t="s">
        <v>703</v>
      </c>
      <c r="C193" s="23">
        <v>2</v>
      </c>
      <c r="D193" s="23">
        <v>1</v>
      </c>
      <c r="E193" s="23"/>
      <c r="F193" s="23">
        <v>1</v>
      </c>
      <c r="G193" s="23">
        <v>1</v>
      </c>
      <c r="H193" s="23" t="s">
        <v>22</v>
      </c>
      <c r="I193" s="23">
        <v>1</v>
      </c>
      <c r="J193" s="23">
        <v>4</v>
      </c>
      <c r="K193" s="23"/>
      <c r="L193" s="23"/>
      <c r="M193" s="23"/>
      <c r="N193" s="24"/>
      <c r="O193" s="23">
        <v>756</v>
      </c>
      <c r="R193">
        <f t="shared" si="2"/>
        <v>2</v>
      </c>
    </row>
    <row r="194" spans="1:18" ht="15.75" thickBot="1">
      <c r="A194" s="35" t="s">
        <v>271</v>
      </c>
      <c r="B194" s="23" t="s">
        <v>704</v>
      </c>
      <c r="C194" s="23">
        <v>4</v>
      </c>
      <c r="D194" s="23">
        <v>1</v>
      </c>
      <c r="E194" s="23">
        <v>3</v>
      </c>
      <c r="F194" s="23" t="s">
        <v>22</v>
      </c>
      <c r="G194" s="23">
        <v>1</v>
      </c>
      <c r="H194" s="23" t="s">
        <v>22</v>
      </c>
      <c r="I194" s="23" t="s">
        <v>22</v>
      </c>
      <c r="J194" s="23">
        <v>3</v>
      </c>
      <c r="K194" s="23"/>
      <c r="L194" s="23"/>
      <c r="M194" s="23"/>
      <c r="N194" s="24"/>
      <c r="O194" s="23" t="s">
        <v>22</v>
      </c>
      <c r="R194">
        <f t="shared" ref="R194:R257" si="3">J194/C194</f>
        <v>0.75</v>
      </c>
    </row>
    <row r="195" spans="1:18" ht="15.75" thickBot="1">
      <c r="A195" s="35" t="s">
        <v>272</v>
      </c>
      <c r="B195" s="23" t="s">
        <v>705</v>
      </c>
      <c r="C195" s="23">
        <v>7</v>
      </c>
      <c r="D195" s="23">
        <v>2</v>
      </c>
      <c r="E195" s="23">
        <v>5</v>
      </c>
      <c r="F195" s="23">
        <v>1</v>
      </c>
      <c r="G195" s="23">
        <v>1</v>
      </c>
      <c r="H195" s="23" t="s">
        <v>22</v>
      </c>
      <c r="I195" s="23">
        <v>2</v>
      </c>
      <c r="J195" s="23">
        <v>10</v>
      </c>
      <c r="K195" s="23"/>
      <c r="L195" s="23"/>
      <c r="M195" s="23"/>
      <c r="N195" s="24"/>
      <c r="O195" s="23">
        <v>227</v>
      </c>
      <c r="R195">
        <f t="shared" si="3"/>
        <v>1.4285714285714286</v>
      </c>
    </row>
    <row r="196" spans="1:18" ht="15.75" thickBot="1">
      <c r="A196" s="35" t="s">
        <v>273</v>
      </c>
      <c r="B196" s="23" t="s">
        <v>706</v>
      </c>
      <c r="C196" s="23">
        <v>3</v>
      </c>
      <c r="D196" s="23">
        <v>1</v>
      </c>
      <c r="E196" s="23">
        <v>2</v>
      </c>
      <c r="F196" s="23">
        <v>1</v>
      </c>
      <c r="G196" s="23">
        <v>1</v>
      </c>
      <c r="H196" s="23" t="s">
        <v>22</v>
      </c>
      <c r="I196" s="23" t="s">
        <v>22</v>
      </c>
      <c r="J196" s="23">
        <v>4</v>
      </c>
      <c r="K196" s="23"/>
      <c r="L196" s="23"/>
      <c r="M196" s="23"/>
      <c r="N196" s="24"/>
      <c r="O196" s="23">
        <v>752</v>
      </c>
      <c r="R196">
        <f t="shared" si="3"/>
        <v>1.3333333333333333</v>
      </c>
    </row>
    <row r="197" spans="1:18" ht="15.75" thickBot="1">
      <c r="A197" s="35" t="s">
        <v>274</v>
      </c>
      <c r="B197" s="23" t="s">
        <v>707</v>
      </c>
      <c r="C197" s="23">
        <v>7</v>
      </c>
      <c r="D197" s="23">
        <v>2</v>
      </c>
      <c r="E197" s="23">
        <v>5</v>
      </c>
      <c r="F197" s="23">
        <v>2</v>
      </c>
      <c r="G197" s="23">
        <v>1</v>
      </c>
      <c r="H197" s="23" t="s">
        <v>22</v>
      </c>
      <c r="I197" s="23">
        <v>1</v>
      </c>
      <c r="J197" s="23">
        <v>12</v>
      </c>
      <c r="K197" s="23"/>
      <c r="L197" s="23"/>
      <c r="M197" s="23"/>
      <c r="N197" s="24"/>
      <c r="O197" s="23">
        <v>741</v>
      </c>
      <c r="R197">
        <f t="shared" si="3"/>
        <v>1.7142857142857142</v>
      </c>
    </row>
    <row r="198" spans="1:18" ht="15.75" thickBot="1">
      <c r="A198" s="35" t="s">
        <v>275</v>
      </c>
      <c r="B198" s="23" t="s">
        <v>708</v>
      </c>
      <c r="C198" s="23">
        <v>4</v>
      </c>
      <c r="D198" s="23">
        <v>2</v>
      </c>
      <c r="E198" s="23">
        <v>2</v>
      </c>
      <c r="F198" s="23" t="s">
        <v>22</v>
      </c>
      <c r="G198" s="23" t="s">
        <v>22</v>
      </c>
      <c r="H198" s="23" t="s">
        <v>22</v>
      </c>
      <c r="I198" s="23" t="s">
        <v>22</v>
      </c>
      <c r="J198" s="23">
        <v>4</v>
      </c>
      <c r="K198" s="23"/>
      <c r="L198" s="23"/>
      <c r="M198" s="23"/>
      <c r="N198" s="24"/>
      <c r="O198" s="23">
        <v>252</v>
      </c>
      <c r="R198">
        <f t="shared" si="3"/>
        <v>1</v>
      </c>
    </row>
    <row r="199" spans="1:18" ht="15.75" thickBot="1">
      <c r="A199" s="35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4"/>
      <c r="O199" s="23"/>
      <c r="R199" t="e">
        <f t="shared" si="3"/>
        <v>#DIV/0!</v>
      </c>
    </row>
    <row r="200" spans="1:18" ht="15.75" thickBot="1">
      <c r="A200" s="35" t="s">
        <v>276</v>
      </c>
      <c r="B200" s="23" t="s">
        <v>670</v>
      </c>
      <c r="C200" s="23">
        <v>2</v>
      </c>
      <c r="D200" s="23">
        <v>1</v>
      </c>
      <c r="E200" s="23">
        <v>1</v>
      </c>
      <c r="F200" s="23">
        <v>1</v>
      </c>
      <c r="G200" s="23">
        <v>1</v>
      </c>
      <c r="H200" s="23" t="s">
        <v>22</v>
      </c>
      <c r="I200" s="23" t="s">
        <v>22</v>
      </c>
      <c r="J200" s="23">
        <v>4</v>
      </c>
      <c r="K200" s="23"/>
      <c r="L200" s="23"/>
      <c r="M200" s="23"/>
      <c r="N200" s="24"/>
      <c r="O200" s="23" t="s">
        <v>22</v>
      </c>
      <c r="R200">
        <f t="shared" si="3"/>
        <v>2</v>
      </c>
    </row>
    <row r="201" spans="1:18" ht="15.75" thickBot="1">
      <c r="A201" s="35" t="s">
        <v>277</v>
      </c>
      <c r="B201" s="23" t="s">
        <v>709</v>
      </c>
      <c r="C201" s="23">
        <v>4</v>
      </c>
      <c r="D201" s="23">
        <v>1</v>
      </c>
      <c r="E201" s="23">
        <v>3</v>
      </c>
      <c r="F201" s="23" t="s">
        <v>22</v>
      </c>
      <c r="G201" s="23">
        <v>1</v>
      </c>
      <c r="H201" s="23" t="s">
        <v>22</v>
      </c>
      <c r="I201" s="23" t="s">
        <v>22</v>
      </c>
      <c r="J201" s="23">
        <v>6</v>
      </c>
      <c r="K201" s="23"/>
      <c r="L201" s="23"/>
      <c r="M201" s="23"/>
      <c r="N201" s="24"/>
      <c r="O201" s="23">
        <v>238</v>
      </c>
      <c r="R201">
        <f t="shared" si="3"/>
        <v>1.5</v>
      </c>
    </row>
    <row r="202" spans="1:18" ht="15.75" thickBot="1">
      <c r="A202" s="35" t="s">
        <v>278</v>
      </c>
      <c r="B202" s="23" t="s">
        <v>670</v>
      </c>
      <c r="C202" s="23">
        <v>2</v>
      </c>
      <c r="D202" s="23" t="s">
        <v>22</v>
      </c>
      <c r="E202" s="23">
        <v>2</v>
      </c>
      <c r="F202" s="23" t="s">
        <v>22</v>
      </c>
      <c r="G202" s="23">
        <v>1</v>
      </c>
      <c r="H202" s="23" t="s">
        <v>22</v>
      </c>
      <c r="I202" s="23" t="s">
        <v>22</v>
      </c>
      <c r="J202" s="23">
        <v>4</v>
      </c>
      <c r="K202" s="23"/>
      <c r="L202" s="23"/>
      <c r="M202" s="23"/>
      <c r="N202" s="24"/>
      <c r="O202" s="23" t="s">
        <v>22</v>
      </c>
      <c r="R202">
        <f t="shared" si="3"/>
        <v>2</v>
      </c>
    </row>
    <row r="203" spans="1:18" ht="15.75" thickBot="1">
      <c r="A203" s="35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4"/>
      <c r="O203" s="23"/>
      <c r="R203" t="e">
        <f t="shared" si="3"/>
        <v>#DIV/0!</v>
      </c>
    </row>
    <row r="204" spans="1:18" ht="15.75" thickBot="1">
      <c r="A204" s="35" t="s">
        <v>279</v>
      </c>
      <c r="B204" s="23" t="s">
        <v>670</v>
      </c>
      <c r="C204" s="23">
        <v>2</v>
      </c>
      <c r="D204" s="23" t="s">
        <v>22</v>
      </c>
      <c r="E204" s="23">
        <v>2</v>
      </c>
      <c r="F204" s="23" t="s">
        <v>22</v>
      </c>
      <c r="G204" s="23">
        <v>1</v>
      </c>
      <c r="H204" s="23" t="s">
        <v>22</v>
      </c>
      <c r="I204" s="23" t="s">
        <v>22</v>
      </c>
      <c r="J204" s="23">
        <v>3</v>
      </c>
      <c r="K204" s="23"/>
      <c r="L204" s="23"/>
      <c r="M204" s="23"/>
      <c r="N204" s="24"/>
      <c r="O204" s="23" t="s">
        <v>22</v>
      </c>
      <c r="R204">
        <f t="shared" si="3"/>
        <v>1.5</v>
      </c>
    </row>
    <row r="205" spans="1:18" ht="15.75" thickBot="1">
      <c r="A205" s="35" t="s">
        <v>280</v>
      </c>
      <c r="B205" s="23" t="s">
        <v>710</v>
      </c>
      <c r="C205" s="23">
        <v>9</v>
      </c>
      <c r="D205" s="23">
        <v>2</v>
      </c>
      <c r="E205" s="23">
        <v>7</v>
      </c>
      <c r="F205" s="23" t="s">
        <v>22</v>
      </c>
      <c r="G205" s="23">
        <v>1</v>
      </c>
      <c r="H205" s="23" t="s">
        <v>22</v>
      </c>
      <c r="I205" s="23" t="s">
        <v>22</v>
      </c>
      <c r="J205" s="23">
        <v>3</v>
      </c>
      <c r="K205" s="23"/>
      <c r="L205" s="23"/>
      <c r="M205" s="23"/>
      <c r="N205" s="24"/>
      <c r="O205" s="23">
        <v>858</v>
      </c>
      <c r="R205">
        <f t="shared" si="3"/>
        <v>0.33333333333333331</v>
      </c>
    </row>
    <row r="206" spans="1:18" ht="15.75" thickBot="1">
      <c r="A206" s="35" t="s">
        <v>281</v>
      </c>
      <c r="B206" s="23" t="s">
        <v>711</v>
      </c>
      <c r="C206" s="23">
        <v>2</v>
      </c>
      <c r="D206" s="23" t="s">
        <v>22</v>
      </c>
      <c r="E206" s="23">
        <v>2</v>
      </c>
      <c r="F206" s="23" t="s">
        <v>22</v>
      </c>
      <c r="G206" s="23" t="s">
        <v>22</v>
      </c>
      <c r="H206" s="23" t="s">
        <v>22</v>
      </c>
      <c r="I206" s="23" t="s">
        <v>22</v>
      </c>
      <c r="J206" s="23" t="s">
        <v>22</v>
      </c>
      <c r="K206" s="23"/>
      <c r="L206" s="23"/>
      <c r="M206" s="23"/>
      <c r="N206" s="24"/>
      <c r="O206" s="23" t="s">
        <v>22</v>
      </c>
      <c r="R206" t="e">
        <f t="shared" si="3"/>
        <v>#VALUE!</v>
      </c>
    </row>
    <row r="207" spans="1:18">
      <c r="A207" s="346" t="s">
        <v>282</v>
      </c>
      <c r="B207" s="347" t="s">
        <v>712</v>
      </c>
      <c r="C207" s="344">
        <v>6</v>
      </c>
      <c r="D207" s="344">
        <v>2</v>
      </c>
      <c r="E207" s="344">
        <v>4</v>
      </c>
      <c r="F207" s="344">
        <v>2</v>
      </c>
      <c r="G207" s="344">
        <v>2</v>
      </c>
      <c r="H207" s="344" t="s">
        <v>22</v>
      </c>
      <c r="I207" s="344" t="s">
        <v>22</v>
      </c>
      <c r="J207" s="344">
        <v>4</v>
      </c>
      <c r="K207" s="344"/>
      <c r="L207" s="344"/>
      <c r="M207" s="344"/>
      <c r="N207" s="349"/>
      <c r="O207" s="26" t="s">
        <v>22</v>
      </c>
      <c r="R207">
        <f t="shared" si="3"/>
        <v>0.66666666666666663</v>
      </c>
    </row>
    <row r="208" spans="1:18" ht="15.75" thickBot="1">
      <c r="A208" s="346"/>
      <c r="B208" s="348"/>
      <c r="C208" s="345"/>
      <c r="D208" s="345"/>
      <c r="E208" s="345"/>
      <c r="F208" s="345"/>
      <c r="G208" s="345"/>
      <c r="H208" s="345"/>
      <c r="I208" s="345"/>
      <c r="J208" s="345"/>
      <c r="K208" s="345"/>
      <c r="L208" s="345"/>
      <c r="M208" s="345"/>
      <c r="N208" s="350"/>
      <c r="O208" s="23" t="s">
        <v>654</v>
      </c>
      <c r="R208" t="e">
        <f t="shared" si="3"/>
        <v>#DIV/0!</v>
      </c>
    </row>
    <row r="209" spans="1:18" ht="15.75" thickBot="1">
      <c r="A209" s="35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4"/>
      <c r="O209" s="23"/>
      <c r="R209" t="e">
        <f t="shared" si="3"/>
        <v>#DIV/0!</v>
      </c>
    </row>
    <row r="210" spans="1:18" ht="15.75" thickBot="1">
      <c r="A210" s="35" t="s">
        <v>283</v>
      </c>
      <c r="B210" s="23" t="s">
        <v>713</v>
      </c>
      <c r="C210" s="23">
        <v>4</v>
      </c>
      <c r="D210" s="23">
        <v>2</v>
      </c>
      <c r="E210" s="23">
        <v>2</v>
      </c>
      <c r="F210" s="23" t="s">
        <v>22</v>
      </c>
      <c r="G210" s="23" t="s">
        <v>22</v>
      </c>
      <c r="H210" s="23" t="s">
        <v>22</v>
      </c>
      <c r="I210" s="23" t="s">
        <v>22</v>
      </c>
      <c r="J210" s="23" t="s">
        <v>22</v>
      </c>
      <c r="K210" s="23"/>
      <c r="L210" s="23"/>
      <c r="M210" s="23"/>
      <c r="N210" s="24"/>
      <c r="O210" s="23" t="s">
        <v>22</v>
      </c>
      <c r="R210" t="e">
        <f t="shared" si="3"/>
        <v>#VALUE!</v>
      </c>
    </row>
    <row r="211" spans="1:18" ht="15.75" thickBot="1">
      <c r="A211" s="35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4"/>
      <c r="O211" s="23"/>
      <c r="R211" t="e">
        <f t="shared" si="3"/>
        <v>#DIV/0!</v>
      </c>
    </row>
    <row r="212" spans="1:18" ht="15.75" thickBot="1">
      <c r="A212" s="35" t="s">
        <v>284</v>
      </c>
      <c r="B212" s="23" t="s">
        <v>630</v>
      </c>
      <c r="C212" s="23">
        <v>5</v>
      </c>
      <c r="D212" s="23" t="s">
        <v>22</v>
      </c>
      <c r="E212" s="23">
        <v>5</v>
      </c>
      <c r="F212" s="23" t="s">
        <v>22</v>
      </c>
      <c r="G212" s="23">
        <v>1</v>
      </c>
      <c r="H212" s="23" t="s">
        <v>22</v>
      </c>
      <c r="I212" s="23" t="s">
        <v>22</v>
      </c>
      <c r="J212" s="23" t="s">
        <v>22</v>
      </c>
      <c r="K212" s="23"/>
      <c r="L212" s="23"/>
      <c r="M212" s="23"/>
      <c r="N212" s="24"/>
      <c r="O212" s="23" t="s">
        <v>22</v>
      </c>
      <c r="R212" t="e">
        <f t="shared" si="3"/>
        <v>#VALUE!</v>
      </c>
    </row>
    <row r="213" spans="1:18" ht="15.75" thickBot="1">
      <c r="A213" s="35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4"/>
      <c r="O213" s="23"/>
      <c r="R213" t="e">
        <f t="shared" si="3"/>
        <v>#DIV/0!</v>
      </c>
    </row>
    <row r="214" spans="1:18" ht="15.75" thickBot="1">
      <c r="A214" s="35" t="s">
        <v>285</v>
      </c>
      <c r="B214" s="23" t="s">
        <v>624</v>
      </c>
      <c r="C214" s="23">
        <v>9</v>
      </c>
      <c r="D214" s="23">
        <v>2</v>
      </c>
      <c r="E214" s="23">
        <v>7</v>
      </c>
      <c r="F214" s="23">
        <v>1</v>
      </c>
      <c r="G214" s="23">
        <v>1</v>
      </c>
      <c r="H214" s="23" t="s">
        <v>22</v>
      </c>
      <c r="I214" s="23" t="s">
        <v>22</v>
      </c>
      <c r="J214" s="23">
        <v>5</v>
      </c>
      <c r="K214" s="23"/>
      <c r="L214" s="23"/>
      <c r="M214" s="23"/>
      <c r="N214" s="24"/>
      <c r="O214" s="23" t="s">
        <v>22</v>
      </c>
      <c r="R214">
        <f t="shared" si="3"/>
        <v>0.55555555555555558</v>
      </c>
    </row>
    <row r="215" spans="1:18" ht="15.75" thickBot="1">
      <c r="A215" s="35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4"/>
      <c r="O215" s="23"/>
      <c r="R215" t="e">
        <f t="shared" si="3"/>
        <v>#DIV/0!</v>
      </c>
    </row>
    <row r="216" spans="1:18" ht="15.75" thickBot="1">
      <c r="A216" s="35" t="s">
        <v>286</v>
      </c>
      <c r="B216" s="23" t="s">
        <v>624</v>
      </c>
      <c r="C216" s="23">
        <v>4</v>
      </c>
      <c r="D216" s="23">
        <v>2</v>
      </c>
      <c r="E216" s="23">
        <v>2</v>
      </c>
      <c r="F216" s="23">
        <v>1</v>
      </c>
      <c r="G216" s="23">
        <v>1</v>
      </c>
      <c r="H216" s="23" t="s">
        <v>22</v>
      </c>
      <c r="I216" s="23">
        <v>1</v>
      </c>
      <c r="J216" s="23">
        <v>4</v>
      </c>
      <c r="K216" s="23"/>
      <c r="L216" s="23"/>
      <c r="M216" s="23"/>
      <c r="N216" s="24"/>
      <c r="O216" s="23">
        <v>604</v>
      </c>
      <c r="R216">
        <f t="shared" si="3"/>
        <v>1</v>
      </c>
    </row>
    <row r="217" spans="1:18" ht="15.75" thickBot="1">
      <c r="A217" s="35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4"/>
      <c r="O217" s="23"/>
      <c r="R217" t="e">
        <f t="shared" si="3"/>
        <v>#DIV/0!</v>
      </c>
    </row>
    <row r="218" spans="1:18" ht="15.75" thickBot="1">
      <c r="A218" s="35" t="s">
        <v>287</v>
      </c>
      <c r="B218" s="23" t="s">
        <v>630</v>
      </c>
      <c r="C218" s="23">
        <v>4</v>
      </c>
      <c r="D218" s="23">
        <v>2</v>
      </c>
      <c r="E218" s="23">
        <v>2</v>
      </c>
      <c r="F218" s="23" t="s">
        <v>22</v>
      </c>
      <c r="G218" s="23">
        <v>1</v>
      </c>
      <c r="H218" s="23" t="s">
        <v>22</v>
      </c>
      <c r="I218" s="23" t="s">
        <v>22</v>
      </c>
      <c r="J218" s="23">
        <v>3</v>
      </c>
      <c r="K218" s="23"/>
      <c r="L218" s="23"/>
      <c r="M218" s="23"/>
      <c r="N218" s="24"/>
      <c r="O218" s="23" t="s">
        <v>22</v>
      </c>
      <c r="R218">
        <f t="shared" si="3"/>
        <v>0.75</v>
      </c>
    </row>
    <row r="219" spans="1:18" ht="15.75" thickBot="1">
      <c r="A219" s="35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4"/>
      <c r="O219" s="23"/>
      <c r="R219" t="e">
        <f t="shared" si="3"/>
        <v>#DIV/0!</v>
      </c>
    </row>
    <row r="220" spans="1:18" ht="15.75" thickBot="1">
      <c r="A220" s="35" t="s">
        <v>288</v>
      </c>
      <c r="B220" s="23" t="s">
        <v>641</v>
      </c>
      <c r="C220" s="23">
        <v>7</v>
      </c>
      <c r="D220" s="23">
        <v>2</v>
      </c>
      <c r="E220" s="23">
        <v>5</v>
      </c>
      <c r="F220" s="23">
        <v>1</v>
      </c>
      <c r="G220" s="23">
        <v>1</v>
      </c>
      <c r="H220" s="23" t="s">
        <v>22</v>
      </c>
      <c r="I220" s="23" t="s">
        <v>22</v>
      </c>
      <c r="J220" s="23">
        <v>10</v>
      </c>
      <c r="K220" s="23"/>
      <c r="L220" s="23"/>
      <c r="M220" s="23"/>
      <c r="N220" s="24"/>
      <c r="O220" s="23">
        <v>133</v>
      </c>
      <c r="R220">
        <f t="shared" si="3"/>
        <v>1.4285714285714286</v>
      </c>
    </row>
    <row r="221" spans="1:18" ht="15.75" thickBot="1">
      <c r="A221" s="35" t="s">
        <v>289</v>
      </c>
      <c r="B221" s="23" t="s">
        <v>714</v>
      </c>
      <c r="C221" s="23">
        <v>7</v>
      </c>
      <c r="D221" s="23">
        <v>2</v>
      </c>
      <c r="E221" s="23">
        <v>5</v>
      </c>
      <c r="F221" s="23">
        <v>2</v>
      </c>
      <c r="G221" s="23">
        <v>1</v>
      </c>
      <c r="H221" s="23" t="s">
        <v>22</v>
      </c>
      <c r="I221" s="23" t="s">
        <v>22</v>
      </c>
      <c r="J221" s="23">
        <v>6</v>
      </c>
      <c r="K221" s="23"/>
      <c r="L221" s="23"/>
      <c r="M221" s="23"/>
      <c r="N221" s="24"/>
      <c r="O221" s="23">
        <v>195</v>
      </c>
      <c r="R221">
        <f t="shared" si="3"/>
        <v>0.8571428571428571</v>
      </c>
    </row>
    <row r="222" spans="1:18" ht="15.75" thickBot="1">
      <c r="A222" s="35" t="s">
        <v>290</v>
      </c>
      <c r="B222" s="23" t="s">
        <v>630</v>
      </c>
      <c r="C222" s="23">
        <v>3</v>
      </c>
      <c r="D222" s="23">
        <v>1</v>
      </c>
      <c r="E222" s="23">
        <v>2</v>
      </c>
      <c r="F222" s="23" t="s">
        <v>22</v>
      </c>
      <c r="G222" s="23">
        <v>1</v>
      </c>
      <c r="H222" s="23" t="s">
        <v>22</v>
      </c>
      <c r="I222" s="23" t="s">
        <v>22</v>
      </c>
      <c r="J222" s="23">
        <v>2</v>
      </c>
      <c r="K222" s="23"/>
      <c r="L222" s="23"/>
      <c r="M222" s="23"/>
      <c r="N222" s="24"/>
      <c r="O222" s="23" t="s">
        <v>22</v>
      </c>
      <c r="R222">
        <f t="shared" si="3"/>
        <v>0.66666666666666663</v>
      </c>
    </row>
    <row r="223" spans="1:18" ht="15.75" thickBot="1">
      <c r="A223" s="35" t="s">
        <v>291</v>
      </c>
      <c r="B223" s="23" t="s">
        <v>715</v>
      </c>
      <c r="C223" s="23">
        <v>4</v>
      </c>
      <c r="D223" s="23">
        <v>1</v>
      </c>
      <c r="E223" s="23">
        <v>3</v>
      </c>
      <c r="F223" s="23" t="s">
        <v>22</v>
      </c>
      <c r="G223" s="23">
        <v>1</v>
      </c>
      <c r="H223" s="23" t="s">
        <v>22</v>
      </c>
      <c r="I223" s="23" t="s">
        <v>22</v>
      </c>
      <c r="J223" s="23">
        <v>5</v>
      </c>
      <c r="K223" s="23"/>
      <c r="L223" s="23"/>
      <c r="M223" s="23"/>
      <c r="N223" s="24"/>
      <c r="O223" s="23">
        <v>806</v>
      </c>
      <c r="R223">
        <f t="shared" si="3"/>
        <v>1.25</v>
      </c>
    </row>
    <row r="224" spans="1:18" ht="15.75" thickBot="1">
      <c r="A224" s="35" t="s">
        <v>292</v>
      </c>
      <c r="B224" s="23" t="s">
        <v>716</v>
      </c>
      <c r="C224" s="23">
        <v>9</v>
      </c>
      <c r="D224" s="23">
        <v>2</v>
      </c>
      <c r="E224" s="23">
        <v>7</v>
      </c>
      <c r="F224" s="23">
        <v>2</v>
      </c>
      <c r="G224" s="23">
        <v>2</v>
      </c>
      <c r="H224" s="23" t="s">
        <v>22</v>
      </c>
      <c r="I224" s="23" t="s">
        <v>22</v>
      </c>
      <c r="J224" s="23">
        <v>12</v>
      </c>
      <c r="K224" s="23"/>
      <c r="L224" s="23"/>
      <c r="M224" s="23"/>
      <c r="N224" s="24"/>
      <c r="O224" s="23">
        <v>804</v>
      </c>
      <c r="R224">
        <f t="shared" si="3"/>
        <v>1.3333333333333333</v>
      </c>
    </row>
    <row r="225" spans="1:18" ht="15.75" thickBot="1">
      <c r="A225" s="35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4"/>
      <c r="O225" s="23"/>
      <c r="R225" t="e">
        <f t="shared" si="3"/>
        <v>#DIV/0!</v>
      </c>
    </row>
    <row r="226" spans="1:18" ht="15.75" thickBot="1">
      <c r="A226" s="35" t="s">
        <v>293</v>
      </c>
      <c r="B226" s="23" t="s">
        <v>643</v>
      </c>
      <c r="C226" s="23">
        <v>7</v>
      </c>
      <c r="D226" s="23" t="s">
        <v>22</v>
      </c>
      <c r="E226" s="23" t="s">
        <v>22</v>
      </c>
      <c r="F226" s="23">
        <v>1</v>
      </c>
      <c r="G226" s="23">
        <v>1</v>
      </c>
      <c r="H226" s="23" t="s">
        <v>22</v>
      </c>
      <c r="I226" s="23" t="s">
        <v>22</v>
      </c>
      <c r="J226" s="23">
        <v>2</v>
      </c>
      <c r="K226" s="23"/>
      <c r="L226" s="23"/>
      <c r="M226" s="23"/>
      <c r="N226" s="24"/>
      <c r="O226" s="23" t="s">
        <v>717</v>
      </c>
      <c r="R226">
        <f t="shared" si="3"/>
        <v>0.2857142857142857</v>
      </c>
    </row>
    <row r="227" spans="1:18" ht="15.75" thickBot="1">
      <c r="A227" s="35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4"/>
      <c r="O227" s="23"/>
      <c r="R227" t="e">
        <f t="shared" si="3"/>
        <v>#DIV/0!</v>
      </c>
    </row>
    <row r="228" spans="1:18" ht="15.75" thickBot="1">
      <c r="A228" s="35" t="s">
        <v>294</v>
      </c>
      <c r="B228" s="23" t="s">
        <v>636</v>
      </c>
      <c r="C228" s="23">
        <v>2</v>
      </c>
      <c r="D228" s="23" t="s">
        <v>22</v>
      </c>
      <c r="E228" s="23">
        <v>2</v>
      </c>
      <c r="F228" s="23" t="s">
        <v>22</v>
      </c>
      <c r="G228" s="23" t="s">
        <v>22</v>
      </c>
      <c r="H228" s="23" t="s">
        <v>22</v>
      </c>
      <c r="I228" s="23" t="s">
        <v>22</v>
      </c>
      <c r="J228" s="23" t="s">
        <v>22</v>
      </c>
      <c r="K228" s="23"/>
      <c r="L228" s="23"/>
      <c r="M228" s="23"/>
      <c r="N228" s="24"/>
      <c r="O228" s="23" t="s">
        <v>22</v>
      </c>
      <c r="R228" t="e">
        <f t="shared" si="3"/>
        <v>#VALUE!</v>
      </c>
    </row>
    <row r="229" spans="1:18" ht="15.75" thickBot="1">
      <c r="A229" s="35" t="s">
        <v>295</v>
      </c>
      <c r="B229" s="23" t="s">
        <v>634</v>
      </c>
      <c r="C229" s="23">
        <v>4</v>
      </c>
      <c r="D229" s="23">
        <v>3</v>
      </c>
      <c r="E229" s="23">
        <v>1</v>
      </c>
      <c r="F229" s="23" t="s">
        <v>22</v>
      </c>
      <c r="G229" s="23" t="s">
        <v>22</v>
      </c>
      <c r="H229" s="23" t="s">
        <v>22</v>
      </c>
      <c r="I229" s="23" t="s">
        <v>22</v>
      </c>
      <c r="J229" s="23">
        <v>4</v>
      </c>
      <c r="K229" s="23"/>
      <c r="L229" s="23"/>
      <c r="M229" s="23"/>
      <c r="N229" s="24"/>
      <c r="O229" s="23" t="s">
        <v>22</v>
      </c>
      <c r="R229">
        <f t="shared" si="3"/>
        <v>1</v>
      </c>
    </row>
    <row r="230" spans="1:18" ht="15.75" thickBot="1">
      <c r="A230" s="35" t="s">
        <v>296</v>
      </c>
      <c r="B230" s="23" t="s">
        <v>631</v>
      </c>
      <c r="C230" s="23">
        <v>6</v>
      </c>
      <c r="D230" s="23">
        <v>1</v>
      </c>
      <c r="E230" s="23">
        <v>5</v>
      </c>
      <c r="F230" s="23">
        <v>1</v>
      </c>
      <c r="G230" s="23">
        <v>1</v>
      </c>
      <c r="H230" s="23" t="s">
        <v>22</v>
      </c>
      <c r="I230" s="23" t="s">
        <v>22</v>
      </c>
      <c r="J230" s="23">
        <v>4</v>
      </c>
      <c r="K230" s="23"/>
      <c r="L230" s="23"/>
      <c r="M230" s="23"/>
      <c r="N230" s="24"/>
      <c r="O230" s="23">
        <v>352</v>
      </c>
      <c r="R230">
        <f t="shared" si="3"/>
        <v>0.66666666666666663</v>
      </c>
    </row>
    <row r="231" spans="1:18" ht="15.75" thickBot="1">
      <c r="A231" s="35" t="s">
        <v>297</v>
      </c>
      <c r="B231" s="23" t="s">
        <v>718</v>
      </c>
      <c r="C231" s="23">
        <v>4</v>
      </c>
      <c r="D231" s="23">
        <v>1</v>
      </c>
      <c r="E231" s="23">
        <v>3</v>
      </c>
      <c r="F231" s="23">
        <v>1</v>
      </c>
      <c r="G231" s="23">
        <v>1</v>
      </c>
      <c r="H231" s="23" t="s">
        <v>22</v>
      </c>
      <c r="I231" s="23" t="s">
        <v>22</v>
      </c>
      <c r="J231" s="23">
        <v>3</v>
      </c>
      <c r="K231" s="23"/>
      <c r="L231" s="23"/>
      <c r="M231" s="23"/>
      <c r="N231" s="24"/>
      <c r="O231" s="23">
        <v>3</v>
      </c>
      <c r="R231">
        <f t="shared" si="3"/>
        <v>0.75</v>
      </c>
    </row>
    <row r="232" spans="1:18" ht="15.75" thickBot="1">
      <c r="A232" s="35" t="s">
        <v>298</v>
      </c>
      <c r="B232" s="23" t="s">
        <v>719</v>
      </c>
      <c r="C232" s="23">
        <v>8</v>
      </c>
      <c r="D232" s="23">
        <v>2</v>
      </c>
      <c r="E232" s="23">
        <v>6</v>
      </c>
      <c r="F232" s="23">
        <v>2</v>
      </c>
      <c r="G232" s="23">
        <v>2</v>
      </c>
      <c r="H232" s="23" t="s">
        <v>22</v>
      </c>
      <c r="I232" s="23" t="s">
        <v>22</v>
      </c>
      <c r="J232" s="23">
        <v>9</v>
      </c>
      <c r="K232" s="23"/>
      <c r="L232" s="23"/>
      <c r="M232" s="23"/>
      <c r="N232" s="24"/>
      <c r="O232" s="23">
        <v>426</v>
      </c>
      <c r="R232">
        <f t="shared" si="3"/>
        <v>1.125</v>
      </c>
    </row>
    <row r="233" spans="1:18" ht="15.75" thickBot="1">
      <c r="A233" s="35" t="s">
        <v>299</v>
      </c>
      <c r="B233" s="23" t="s">
        <v>634</v>
      </c>
      <c r="C233" s="23">
        <v>7</v>
      </c>
      <c r="D233" s="23">
        <v>2</v>
      </c>
      <c r="E233" s="23">
        <v>5</v>
      </c>
      <c r="F233" s="23">
        <v>2</v>
      </c>
      <c r="G233" s="23">
        <v>1</v>
      </c>
      <c r="H233" s="23" t="s">
        <v>22</v>
      </c>
      <c r="I233" s="23" t="s">
        <v>22</v>
      </c>
      <c r="J233" s="23">
        <v>7</v>
      </c>
      <c r="K233" s="23"/>
      <c r="L233" s="23"/>
      <c r="M233" s="23"/>
      <c r="N233" s="24"/>
      <c r="O233" s="23">
        <v>260</v>
      </c>
      <c r="R233">
        <f t="shared" si="3"/>
        <v>1</v>
      </c>
    </row>
    <row r="234" spans="1:18" ht="15.75" thickBot="1">
      <c r="A234" s="35" t="s">
        <v>300</v>
      </c>
      <c r="B234" s="23" t="s">
        <v>636</v>
      </c>
      <c r="C234" s="23">
        <v>5</v>
      </c>
      <c r="D234" s="23">
        <v>2</v>
      </c>
      <c r="E234" s="23">
        <v>3</v>
      </c>
      <c r="F234" s="23">
        <v>1</v>
      </c>
      <c r="G234" s="23">
        <v>1</v>
      </c>
      <c r="H234" s="23" t="s">
        <v>22</v>
      </c>
      <c r="I234" s="23" t="s">
        <v>22</v>
      </c>
      <c r="J234" s="23">
        <v>4</v>
      </c>
      <c r="K234" s="23"/>
      <c r="L234" s="23"/>
      <c r="M234" s="23"/>
      <c r="N234" s="24"/>
      <c r="O234" s="23" t="s">
        <v>22</v>
      </c>
      <c r="R234">
        <f t="shared" si="3"/>
        <v>0.8</v>
      </c>
    </row>
    <row r="235" spans="1:18" ht="15.75" thickBot="1">
      <c r="A235" s="35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4"/>
      <c r="O235" s="23"/>
      <c r="R235" t="e">
        <f t="shared" si="3"/>
        <v>#DIV/0!</v>
      </c>
    </row>
    <row r="236" spans="1:18" ht="15.75" thickBot="1">
      <c r="A236" s="35" t="s">
        <v>301</v>
      </c>
      <c r="B236" s="23" t="s">
        <v>720</v>
      </c>
      <c r="C236" s="23">
        <v>9</v>
      </c>
      <c r="D236" s="23">
        <v>2</v>
      </c>
      <c r="E236" s="23">
        <v>7</v>
      </c>
      <c r="F236" s="23">
        <v>1</v>
      </c>
      <c r="G236" s="23">
        <v>1</v>
      </c>
      <c r="H236" s="23" t="s">
        <v>22</v>
      </c>
      <c r="I236" s="23" t="s">
        <v>22</v>
      </c>
      <c r="J236" s="23">
        <v>6</v>
      </c>
      <c r="K236" s="23"/>
      <c r="L236" s="23"/>
      <c r="M236" s="23"/>
      <c r="N236" s="24"/>
      <c r="O236" s="23">
        <v>807</v>
      </c>
      <c r="R236">
        <f t="shared" si="3"/>
        <v>0.66666666666666663</v>
      </c>
    </row>
    <row r="237" spans="1:18" ht="15.75" thickBot="1">
      <c r="A237" s="35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4"/>
      <c r="O237" s="23"/>
      <c r="R237" t="e">
        <f t="shared" si="3"/>
        <v>#DIV/0!</v>
      </c>
    </row>
    <row r="238" spans="1:18" ht="15.75" thickBot="1">
      <c r="A238" s="35" t="s">
        <v>302</v>
      </c>
      <c r="B238" s="23" t="s">
        <v>630</v>
      </c>
      <c r="C238" s="23">
        <v>4</v>
      </c>
      <c r="D238" s="23">
        <v>1</v>
      </c>
      <c r="E238" s="23">
        <v>4</v>
      </c>
      <c r="F238" s="23" t="s">
        <v>22</v>
      </c>
      <c r="G238" s="23">
        <v>1</v>
      </c>
      <c r="H238" s="23" t="s">
        <v>22</v>
      </c>
      <c r="I238" s="23" t="s">
        <v>22</v>
      </c>
      <c r="J238" s="23">
        <v>6</v>
      </c>
      <c r="K238" s="23"/>
      <c r="L238" s="23"/>
      <c r="M238" s="23"/>
      <c r="N238" s="24"/>
      <c r="O238" s="23">
        <v>504</v>
      </c>
      <c r="R238">
        <f t="shared" si="3"/>
        <v>1.5</v>
      </c>
    </row>
    <row r="239" spans="1:18" ht="15.75" thickBot="1">
      <c r="A239" s="35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4"/>
      <c r="O239" s="23"/>
      <c r="R239" t="e">
        <f t="shared" si="3"/>
        <v>#DIV/0!</v>
      </c>
    </row>
    <row r="240" spans="1:18" ht="15.75" thickBot="1">
      <c r="A240" s="35" t="s">
        <v>303</v>
      </c>
      <c r="B240" s="23" t="s">
        <v>710</v>
      </c>
      <c r="C240" s="23">
        <v>3</v>
      </c>
      <c r="D240" s="23">
        <v>1</v>
      </c>
      <c r="E240" s="23">
        <v>2</v>
      </c>
      <c r="F240" s="23">
        <v>1</v>
      </c>
      <c r="G240" s="23">
        <v>1</v>
      </c>
      <c r="H240" s="23" t="s">
        <v>22</v>
      </c>
      <c r="I240" s="23" t="s">
        <v>22</v>
      </c>
      <c r="J240" s="23">
        <v>4</v>
      </c>
      <c r="K240" s="23"/>
      <c r="L240" s="23"/>
      <c r="M240" s="23"/>
      <c r="N240" s="24"/>
      <c r="O240" s="23">
        <v>870</v>
      </c>
      <c r="R240">
        <f t="shared" si="3"/>
        <v>1.3333333333333333</v>
      </c>
    </row>
    <row r="241" spans="1:18" ht="15.75" thickBot="1">
      <c r="A241" s="35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4"/>
      <c r="O241" s="23"/>
      <c r="R241" t="e">
        <f t="shared" si="3"/>
        <v>#DIV/0!</v>
      </c>
    </row>
    <row r="242" spans="1:18" ht="15.75" thickBot="1">
      <c r="A242" s="35" t="s">
        <v>304</v>
      </c>
      <c r="B242" s="23" t="s">
        <v>624</v>
      </c>
      <c r="C242" s="23">
        <v>1</v>
      </c>
      <c r="D242" s="23" t="s">
        <v>22</v>
      </c>
      <c r="E242" s="23">
        <v>1</v>
      </c>
      <c r="F242" s="23" t="s">
        <v>22</v>
      </c>
      <c r="G242" s="23" t="s">
        <v>22</v>
      </c>
      <c r="H242" s="23" t="s">
        <v>22</v>
      </c>
      <c r="I242" s="23" t="s">
        <v>22</v>
      </c>
      <c r="J242" s="23" t="s">
        <v>22</v>
      </c>
      <c r="K242" s="23"/>
      <c r="L242" s="23"/>
      <c r="M242" s="23"/>
      <c r="N242" s="24"/>
      <c r="O242" s="23">
        <v>618</v>
      </c>
      <c r="R242" t="e">
        <f t="shared" si="3"/>
        <v>#VALUE!</v>
      </c>
    </row>
    <row r="243" spans="1:18" ht="15.75" thickBot="1">
      <c r="A243" s="35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4"/>
      <c r="O243" s="23"/>
      <c r="R243" t="e">
        <f t="shared" si="3"/>
        <v>#DIV/0!</v>
      </c>
    </row>
    <row r="244" spans="1:18" ht="15.75" thickBot="1">
      <c r="A244" s="35" t="s">
        <v>305</v>
      </c>
      <c r="B244" s="23" t="s">
        <v>721</v>
      </c>
      <c r="C244" s="23">
        <v>4</v>
      </c>
      <c r="D244" s="23" t="s">
        <v>22</v>
      </c>
      <c r="E244" s="23">
        <v>4</v>
      </c>
      <c r="F244" s="23" t="s">
        <v>22</v>
      </c>
      <c r="G244" s="23">
        <v>1</v>
      </c>
      <c r="H244" s="23" t="s">
        <v>22</v>
      </c>
      <c r="I244" s="23" t="s">
        <v>22</v>
      </c>
      <c r="J244" s="23" t="s">
        <v>22</v>
      </c>
      <c r="K244" s="23"/>
      <c r="L244" s="23"/>
      <c r="M244" s="23"/>
      <c r="N244" s="24"/>
      <c r="O244" s="23" t="s">
        <v>22</v>
      </c>
      <c r="R244" t="e">
        <f t="shared" si="3"/>
        <v>#VALUE!</v>
      </c>
    </row>
    <row r="245" spans="1:18" ht="15.75" thickBot="1">
      <c r="A245" s="35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4"/>
      <c r="O245" s="23"/>
      <c r="R245" t="e">
        <f t="shared" si="3"/>
        <v>#DIV/0!</v>
      </c>
    </row>
    <row r="246" spans="1:18" ht="15.75" thickBot="1">
      <c r="A246" s="35" t="s">
        <v>306</v>
      </c>
      <c r="B246" s="23" t="s">
        <v>629</v>
      </c>
      <c r="C246" s="23">
        <v>6</v>
      </c>
      <c r="D246" s="23">
        <v>2</v>
      </c>
      <c r="E246" s="23">
        <v>4</v>
      </c>
      <c r="F246" s="23">
        <v>2</v>
      </c>
      <c r="G246" s="23">
        <v>1</v>
      </c>
      <c r="H246" s="23" t="s">
        <v>22</v>
      </c>
      <c r="I246" s="23">
        <v>2</v>
      </c>
      <c r="J246" s="23">
        <v>9</v>
      </c>
      <c r="K246" s="23"/>
      <c r="L246" s="23"/>
      <c r="M246" s="23"/>
      <c r="N246" s="24"/>
      <c r="O246" s="23">
        <v>891</v>
      </c>
      <c r="R246">
        <f t="shared" si="3"/>
        <v>1.5</v>
      </c>
    </row>
    <row r="247" spans="1:18" ht="15.75" thickBot="1">
      <c r="A247" s="35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4"/>
      <c r="O247" s="23"/>
      <c r="R247" t="e">
        <f t="shared" si="3"/>
        <v>#DIV/0!</v>
      </c>
    </row>
    <row r="248" spans="1:18" ht="15.75" thickBot="1">
      <c r="A248" s="35" t="s">
        <v>307</v>
      </c>
      <c r="B248" s="23" t="s">
        <v>722</v>
      </c>
      <c r="C248" s="23">
        <v>7</v>
      </c>
      <c r="D248" s="23">
        <v>1</v>
      </c>
      <c r="E248" s="23">
        <v>6</v>
      </c>
      <c r="F248" s="23">
        <v>1</v>
      </c>
      <c r="G248" s="23">
        <v>1</v>
      </c>
      <c r="H248" s="23" t="s">
        <v>22</v>
      </c>
      <c r="I248" s="23">
        <v>1</v>
      </c>
      <c r="J248" s="23">
        <v>12</v>
      </c>
      <c r="K248" s="23"/>
      <c r="L248" s="23"/>
      <c r="M248" s="23"/>
      <c r="N248" s="24"/>
      <c r="O248" s="23">
        <v>509</v>
      </c>
      <c r="R248">
        <f t="shared" si="3"/>
        <v>1.7142857142857142</v>
      </c>
    </row>
    <row r="249" spans="1:18" ht="15.75" thickBot="1">
      <c r="A249" s="35" t="s">
        <v>308</v>
      </c>
      <c r="B249" s="23" t="s">
        <v>641</v>
      </c>
      <c r="C249" s="23">
        <v>7</v>
      </c>
      <c r="D249" s="23">
        <v>2</v>
      </c>
      <c r="E249" s="23">
        <v>5</v>
      </c>
      <c r="F249" s="23">
        <v>1</v>
      </c>
      <c r="G249" s="23">
        <v>2</v>
      </c>
      <c r="H249" s="23" t="s">
        <v>22</v>
      </c>
      <c r="I249" s="23">
        <v>1</v>
      </c>
      <c r="J249" s="23">
        <v>12</v>
      </c>
      <c r="K249" s="23"/>
      <c r="L249" s="23"/>
      <c r="M249" s="23"/>
      <c r="N249" s="24"/>
      <c r="O249" s="23">
        <v>142</v>
      </c>
      <c r="R249">
        <f t="shared" si="3"/>
        <v>1.7142857142857142</v>
      </c>
    </row>
    <row r="250" spans="1:18" ht="15.75" thickBot="1">
      <c r="A250" s="35" t="s">
        <v>309</v>
      </c>
      <c r="B250" s="23" t="s">
        <v>723</v>
      </c>
      <c r="C250" s="23">
        <v>6</v>
      </c>
      <c r="D250" s="23">
        <v>2</v>
      </c>
      <c r="E250" s="23">
        <v>4</v>
      </c>
      <c r="F250" s="23">
        <v>2</v>
      </c>
      <c r="G250" s="23">
        <v>1</v>
      </c>
      <c r="H250" s="23" t="s">
        <v>22</v>
      </c>
      <c r="I250" s="23">
        <v>2</v>
      </c>
      <c r="J250" s="23">
        <v>8</v>
      </c>
      <c r="K250" s="23"/>
      <c r="L250" s="23"/>
      <c r="M250" s="23"/>
      <c r="N250" s="24"/>
      <c r="O250" s="23">
        <v>445</v>
      </c>
      <c r="R250">
        <f t="shared" si="3"/>
        <v>1.3333333333333333</v>
      </c>
    </row>
    <row r="251" spans="1:18" ht="15.75" thickBot="1">
      <c r="A251" s="35" t="s">
        <v>310</v>
      </c>
      <c r="B251" s="23" t="s">
        <v>724</v>
      </c>
      <c r="C251" s="23">
        <v>6</v>
      </c>
      <c r="D251" s="27" t="s">
        <v>725</v>
      </c>
      <c r="E251" s="23">
        <v>4</v>
      </c>
      <c r="F251" s="23">
        <v>1</v>
      </c>
      <c r="G251" s="23">
        <v>1</v>
      </c>
      <c r="H251" s="23" t="s">
        <v>22</v>
      </c>
      <c r="I251" s="23" t="s">
        <v>22</v>
      </c>
      <c r="J251" s="23">
        <v>10</v>
      </c>
      <c r="K251" s="23"/>
      <c r="L251" s="23"/>
      <c r="M251" s="23"/>
      <c r="N251" s="24"/>
      <c r="O251" s="23">
        <v>447</v>
      </c>
      <c r="R251">
        <f t="shared" si="3"/>
        <v>1.6666666666666667</v>
      </c>
    </row>
    <row r="252" spans="1:18" ht="15.75" thickBot="1">
      <c r="A252" s="35" t="s">
        <v>311</v>
      </c>
      <c r="B252" s="23" t="s">
        <v>644</v>
      </c>
      <c r="C252" s="23">
        <v>7</v>
      </c>
      <c r="D252" s="23">
        <v>1</v>
      </c>
      <c r="E252" s="23">
        <v>6</v>
      </c>
      <c r="F252" s="23">
        <v>2</v>
      </c>
      <c r="G252" s="23">
        <v>1</v>
      </c>
      <c r="H252" s="23" t="s">
        <v>22</v>
      </c>
      <c r="I252" s="23" t="s">
        <v>22</v>
      </c>
      <c r="J252" s="25">
        <v>4.5</v>
      </c>
      <c r="K252" s="23"/>
      <c r="L252" s="23"/>
      <c r="M252" s="23"/>
      <c r="N252" s="24"/>
      <c r="O252" s="23">
        <v>475</v>
      </c>
      <c r="R252">
        <f t="shared" si="3"/>
        <v>0.6428571428571429</v>
      </c>
    </row>
    <row r="253" spans="1:18" ht="15.75" thickBot="1">
      <c r="A253" s="35" t="s">
        <v>312</v>
      </c>
      <c r="B253" s="23" t="s">
        <v>627</v>
      </c>
      <c r="C253" s="23">
        <v>6</v>
      </c>
      <c r="D253" s="23">
        <v>2</v>
      </c>
      <c r="E253" s="23">
        <v>4</v>
      </c>
      <c r="F253" s="23">
        <v>2</v>
      </c>
      <c r="G253" s="23">
        <v>2</v>
      </c>
      <c r="H253" s="23" t="s">
        <v>22</v>
      </c>
      <c r="I253" s="23" t="s">
        <v>22</v>
      </c>
      <c r="J253" s="23">
        <v>12</v>
      </c>
      <c r="K253" s="23"/>
      <c r="L253" s="23"/>
      <c r="M253" s="23"/>
      <c r="N253" s="24"/>
      <c r="O253" s="23">
        <v>551</v>
      </c>
      <c r="R253">
        <f t="shared" si="3"/>
        <v>2</v>
      </c>
    </row>
    <row r="254" spans="1:18" ht="15.75" thickBot="1">
      <c r="A254" s="35" t="s">
        <v>313</v>
      </c>
      <c r="B254" s="23" t="s">
        <v>630</v>
      </c>
      <c r="C254" s="23">
        <v>5</v>
      </c>
      <c r="D254" s="23">
        <v>1</v>
      </c>
      <c r="E254" s="23">
        <v>4</v>
      </c>
      <c r="F254" s="23">
        <v>1</v>
      </c>
      <c r="G254" s="23">
        <v>1</v>
      </c>
      <c r="H254" s="23" t="s">
        <v>22</v>
      </c>
      <c r="I254" s="23" t="s">
        <v>22</v>
      </c>
      <c r="J254" s="23">
        <v>9</v>
      </c>
      <c r="K254" s="23"/>
      <c r="L254" s="23"/>
      <c r="M254" s="23"/>
      <c r="N254" s="24"/>
      <c r="O254" s="23">
        <v>501</v>
      </c>
      <c r="R254">
        <f t="shared" si="3"/>
        <v>1.8</v>
      </c>
    </row>
    <row r="255" spans="1:18" ht="15.75" thickBot="1">
      <c r="A255" s="35" t="s">
        <v>314</v>
      </c>
      <c r="B255" s="23" t="s">
        <v>726</v>
      </c>
      <c r="C255" s="23">
        <v>4</v>
      </c>
      <c r="D255" s="23">
        <v>1</v>
      </c>
      <c r="E255" s="23">
        <v>3</v>
      </c>
      <c r="F255" s="23">
        <v>1</v>
      </c>
      <c r="G255" s="23">
        <v>1</v>
      </c>
      <c r="H255" s="23" t="s">
        <v>22</v>
      </c>
      <c r="I255" s="23" t="s">
        <v>22</v>
      </c>
      <c r="J255" s="23">
        <v>9</v>
      </c>
      <c r="K255" s="23"/>
      <c r="L255" s="23"/>
      <c r="M255" s="23"/>
      <c r="N255" s="24"/>
      <c r="O255" s="23">
        <v>402</v>
      </c>
      <c r="R255">
        <f t="shared" si="3"/>
        <v>2.25</v>
      </c>
    </row>
    <row r="256" spans="1:18" ht="15.75" thickBot="1">
      <c r="A256" s="35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4"/>
      <c r="O256" s="23"/>
      <c r="R256" t="e">
        <f t="shared" si="3"/>
        <v>#DIV/0!</v>
      </c>
    </row>
    <row r="257" spans="1:18" ht="15.75" thickBot="1">
      <c r="A257" s="35" t="s">
        <v>315</v>
      </c>
      <c r="B257" s="23" t="s">
        <v>627</v>
      </c>
      <c r="C257" s="23">
        <v>4</v>
      </c>
      <c r="D257" s="23" t="s">
        <v>22</v>
      </c>
      <c r="E257" s="23">
        <v>4</v>
      </c>
      <c r="F257" s="23">
        <v>1</v>
      </c>
      <c r="G257" s="23">
        <v>1</v>
      </c>
      <c r="H257" s="23" t="s">
        <v>22</v>
      </c>
      <c r="I257" s="23" t="s">
        <v>22</v>
      </c>
      <c r="J257" s="23">
        <v>4</v>
      </c>
      <c r="K257" s="23"/>
      <c r="L257" s="23"/>
      <c r="M257" s="23"/>
      <c r="N257" s="24"/>
      <c r="O257" s="23" t="s">
        <v>22</v>
      </c>
      <c r="R257">
        <f t="shared" si="3"/>
        <v>1</v>
      </c>
    </row>
    <row r="258" spans="1:18" ht="15.75" thickBot="1">
      <c r="A258" s="35" t="s">
        <v>316</v>
      </c>
      <c r="B258" s="23" t="s">
        <v>636</v>
      </c>
      <c r="C258" s="23">
        <v>2</v>
      </c>
      <c r="D258" s="23">
        <v>1</v>
      </c>
      <c r="E258" s="23">
        <v>1</v>
      </c>
      <c r="F258" s="23">
        <v>1</v>
      </c>
      <c r="G258" s="23">
        <v>1</v>
      </c>
      <c r="H258" s="23" t="s">
        <v>22</v>
      </c>
      <c r="I258" s="23" t="s">
        <v>22</v>
      </c>
      <c r="J258" s="25">
        <v>4.5</v>
      </c>
      <c r="K258" s="23"/>
      <c r="L258" s="23"/>
      <c r="M258" s="23"/>
      <c r="N258" s="24"/>
      <c r="O258" s="23" t="s">
        <v>22</v>
      </c>
      <c r="R258">
        <f t="shared" ref="R258:R321" si="4">J258/C258</f>
        <v>2.25</v>
      </c>
    </row>
    <row r="259" spans="1:18" ht="26.25" thickBot="1">
      <c r="A259" s="35" t="s">
        <v>317</v>
      </c>
      <c r="B259" s="23" t="s">
        <v>636</v>
      </c>
      <c r="C259" s="23">
        <v>4</v>
      </c>
      <c r="D259" s="23">
        <v>2</v>
      </c>
      <c r="E259" s="23">
        <v>2</v>
      </c>
      <c r="F259" s="23" t="s">
        <v>22</v>
      </c>
      <c r="G259" s="23">
        <v>1</v>
      </c>
      <c r="H259" s="23" t="s">
        <v>22</v>
      </c>
      <c r="I259" s="23" t="s">
        <v>22</v>
      </c>
      <c r="J259" s="23">
        <v>5</v>
      </c>
      <c r="K259" s="23"/>
      <c r="L259" s="23"/>
      <c r="M259" s="23"/>
      <c r="N259" s="24"/>
      <c r="O259" s="23" t="s">
        <v>727</v>
      </c>
      <c r="R259">
        <f t="shared" si="4"/>
        <v>1.25</v>
      </c>
    </row>
    <row r="260" spans="1:18" ht="26.25" thickBot="1">
      <c r="A260" s="35" t="s">
        <v>317</v>
      </c>
      <c r="B260" s="23" t="s">
        <v>636</v>
      </c>
      <c r="C260" s="23">
        <v>5</v>
      </c>
      <c r="D260" s="23">
        <v>2</v>
      </c>
      <c r="E260" s="23">
        <v>3</v>
      </c>
      <c r="F260" s="23">
        <v>2</v>
      </c>
      <c r="G260" s="23">
        <v>1</v>
      </c>
      <c r="H260" s="23" t="s">
        <v>22</v>
      </c>
      <c r="I260" s="23" t="s">
        <v>22</v>
      </c>
      <c r="J260" s="23">
        <v>9</v>
      </c>
      <c r="K260" s="23"/>
      <c r="L260" s="23"/>
      <c r="M260" s="23"/>
      <c r="N260" s="24"/>
      <c r="O260" s="23" t="s">
        <v>727</v>
      </c>
      <c r="R260">
        <f t="shared" si="4"/>
        <v>1.8</v>
      </c>
    </row>
    <row r="261" spans="1:18" ht="15.75" thickBot="1">
      <c r="A261" s="35" t="s">
        <v>318</v>
      </c>
      <c r="B261" s="23" t="s">
        <v>636</v>
      </c>
      <c r="C261" s="23">
        <v>6</v>
      </c>
      <c r="D261" s="23">
        <v>2</v>
      </c>
      <c r="E261" s="23">
        <v>4</v>
      </c>
      <c r="F261" s="23">
        <v>2</v>
      </c>
      <c r="G261" s="23">
        <v>1</v>
      </c>
      <c r="H261" s="23" t="s">
        <v>22</v>
      </c>
      <c r="I261" s="23" t="s">
        <v>22</v>
      </c>
      <c r="J261" s="23">
        <v>8</v>
      </c>
      <c r="K261" s="23"/>
      <c r="L261" s="23"/>
      <c r="M261" s="23"/>
      <c r="N261" s="24"/>
      <c r="O261" s="23">
        <v>310</v>
      </c>
      <c r="R261">
        <f t="shared" si="4"/>
        <v>1.3333333333333333</v>
      </c>
    </row>
    <row r="262" spans="1:18" ht="15.75" thickBot="1">
      <c r="A262" s="35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4"/>
      <c r="O262" s="23"/>
      <c r="R262" t="e">
        <f t="shared" si="4"/>
        <v>#DIV/0!</v>
      </c>
    </row>
    <row r="263" spans="1:18" ht="15.75" thickBot="1">
      <c r="A263" s="35" t="s">
        <v>319</v>
      </c>
      <c r="B263" s="23" t="s">
        <v>624</v>
      </c>
      <c r="C263" s="23">
        <v>6</v>
      </c>
      <c r="D263" s="23">
        <v>3</v>
      </c>
      <c r="E263" s="23">
        <v>3</v>
      </c>
      <c r="F263" s="23">
        <v>2</v>
      </c>
      <c r="G263" s="23">
        <v>3</v>
      </c>
      <c r="H263" s="23" t="s">
        <v>22</v>
      </c>
      <c r="I263" s="23" t="s">
        <v>633</v>
      </c>
      <c r="J263" s="23">
        <v>9</v>
      </c>
      <c r="K263" s="23"/>
      <c r="L263" s="23"/>
      <c r="M263" s="23"/>
      <c r="N263" s="24"/>
      <c r="O263" s="23" t="s">
        <v>22</v>
      </c>
      <c r="R263">
        <f t="shared" si="4"/>
        <v>1.5</v>
      </c>
    </row>
    <row r="264" spans="1:18" ht="15.75" thickBot="1">
      <c r="A264" s="35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4"/>
      <c r="O264" s="23"/>
      <c r="R264" t="e">
        <f t="shared" si="4"/>
        <v>#DIV/0!</v>
      </c>
    </row>
    <row r="265" spans="1:18" ht="15.75" thickBot="1">
      <c r="A265" s="35" t="s">
        <v>320</v>
      </c>
      <c r="B265" s="23" t="s">
        <v>710</v>
      </c>
      <c r="C265" s="23">
        <v>3</v>
      </c>
      <c r="D265" s="23">
        <v>1</v>
      </c>
      <c r="E265" s="23">
        <v>2</v>
      </c>
      <c r="F265" s="23" t="s">
        <v>22</v>
      </c>
      <c r="G265" s="23">
        <v>1</v>
      </c>
      <c r="H265" s="23" t="s">
        <v>22</v>
      </c>
      <c r="I265" s="23" t="s">
        <v>22</v>
      </c>
      <c r="J265" s="23" t="s">
        <v>22</v>
      </c>
      <c r="K265" s="23"/>
      <c r="L265" s="23"/>
      <c r="M265" s="23"/>
      <c r="N265" s="24"/>
      <c r="O265" s="23" t="s">
        <v>22</v>
      </c>
      <c r="R265" t="e">
        <f t="shared" si="4"/>
        <v>#VALUE!</v>
      </c>
    </row>
    <row r="266" spans="1:18" ht="15.75" thickBot="1">
      <c r="A266" s="35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4"/>
      <c r="O266" s="23"/>
      <c r="R266" t="e">
        <f t="shared" si="4"/>
        <v>#DIV/0!</v>
      </c>
    </row>
    <row r="267" spans="1:18" ht="15.75" thickBot="1">
      <c r="A267" s="35" t="s">
        <v>321</v>
      </c>
      <c r="B267" s="23" t="s">
        <v>728</v>
      </c>
      <c r="C267" s="23">
        <v>6</v>
      </c>
      <c r="D267" s="23">
        <v>2</v>
      </c>
      <c r="E267" s="23">
        <v>4</v>
      </c>
      <c r="F267" s="23">
        <v>1</v>
      </c>
      <c r="G267" s="23">
        <v>2</v>
      </c>
      <c r="H267" s="23" t="s">
        <v>22</v>
      </c>
      <c r="I267" s="23" t="s">
        <v>22</v>
      </c>
      <c r="J267" s="23">
        <v>10</v>
      </c>
      <c r="K267" s="23"/>
      <c r="L267" s="23"/>
      <c r="M267" s="23"/>
      <c r="N267" s="24"/>
      <c r="O267" s="23" t="s">
        <v>22</v>
      </c>
      <c r="R267">
        <f t="shared" si="4"/>
        <v>1.6666666666666667</v>
      </c>
    </row>
    <row r="268" spans="1:18" ht="15.75" thickBot="1">
      <c r="A268" s="35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4"/>
      <c r="O268" s="23"/>
      <c r="R268" t="e">
        <f t="shared" si="4"/>
        <v>#DIV/0!</v>
      </c>
    </row>
    <row r="269" spans="1:18" ht="15.75" thickBot="1">
      <c r="A269" s="35" t="s">
        <v>4879</v>
      </c>
      <c r="B269" s="23" t="s">
        <v>729</v>
      </c>
      <c r="C269" s="23">
        <v>5</v>
      </c>
      <c r="D269" s="23">
        <v>1</v>
      </c>
      <c r="E269" s="23">
        <v>4</v>
      </c>
      <c r="F269" s="23">
        <v>1</v>
      </c>
      <c r="G269" s="23">
        <v>1</v>
      </c>
      <c r="H269" s="23" t="s">
        <v>22</v>
      </c>
      <c r="I269" s="23" t="s">
        <v>22</v>
      </c>
      <c r="J269" s="23">
        <v>5</v>
      </c>
      <c r="K269" s="23"/>
      <c r="L269" s="23"/>
      <c r="M269" s="23"/>
      <c r="N269" s="24"/>
      <c r="O269" s="23">
        <v>191</v>
      </c>
      <c r="R269">
        <f t="shared" si="4"/>
        <v>1</v>
      </c>
    </row>
    <row r="270" spans="1:18" ht="15.75" thickBot="1">
      <c r="A270" s="35" t="s">
        <v>4880</v>
      </c>
      <c r="B270" s="23" t="s">
        <v>730</v>
      </c>
      <c r="C270" s="23">
        <v>4</v>
      </c>
      <c r="D270" s="23">
        <v>1</v>
      </c>
      <c r="E270" s="23">
        <v>3</v>
      </c>
      <c r="F270" s="23">
        <v>1</v>
      </c>
      <c r="G270" s="23">
        <v>1</v>
      </c>
      <c r="H270" s="23" t="s">
        <v>22</v>
      </c>
      <c r="I270" s="23" t="s">
        <v>22</v>
      </c>
      <c r="J270" s="23">
        <v>4</v>
      </c>
      <c r="K270" s="23"/>
      <c r="L270" s="23"/>
      <c r="M270" s="23"/>
      <c r="N270" s="24"/>
      <c r="O270" s="23">
        <v>193</v>
      </c>
      <c r="R270">
        <f t="shared" si="4"/>
        <v>1</v>
      </c>
    </row>
    <row r="271" spans="1:18" ht="15.75" thickBot="1">
      <c r="A271" s="35" t="s">
        <v>4881</v>
      </c>
      <c r="B271" s="23" t="s">
        <v>731</v>
      </c>
      <c r="C271" s="23">
        <v>3</v>
      </c>
      <c r="D271" s="23">
        <v>2</v>
      </c>
      <c r="E271" s="23">
        <v>1</v>
      </c>
      <c r="F271" s="23" t="s">
        <v>22</v>
      </c>
      <c r="G271" s="23">
        <v>1</v>
      </c>
      <c r="H271" s="23" t="s">
        <v>22</v>
      </c>
      <c r="I271" s="23" t="s">
        <v>22</v>
      </c>
      <c r="J271" s="23">
        <v>1</v>
      </c>
      <c r="K271" s="23"/>
      <c r="L271" s="23"/>
      <c r="M271" s="23"/>
      <c r="N271" s="24"/>
      <c r="O271" s="23">
        <v>211</v>
      </c>
      <c r="R271">
        <f t="shared" si="4"/>
        <v>0.33333333333333331</v>
      </c>
    </row>
    <row r="272" spans="1:18" ht="15.75" thickBot="1">
      <c r="A272" s="35" t="s">
        <v>322</v>
      </c>
      <c r="B272" s="23" t="s">
        <v>643</v>
      </c>
      <c r="C272" s="23">
        <v>2</v>
      </c>
      <c r="D272" s="23" t="s">
        <v>22</v>
      </c>
      <c r="E272" s="23">
        <v>2</v>
      </c>
      <c r="F272" s="23">
        <v>1</v>
      </c>
      <c r="G272" s="23">
        <v>1</v>
      </c>
      <c r="H272" s="23" t="s">
        <v>22</v>
      </c>
      <c r="I272" s="23">
        <v>1</v>
      </c>
      <c r="J272" s="23">
        <v>4</v>
      </c>
      <c r="K272" s="23"/>
      <c r="L272" s="23"/>
      <c r="M272" s="23"/>
      <c r="N272" s="24"/>
      <c r="O272" s="23" t="s">
        <v>22</v>
      </c>
      <c r="R272">
        <f t="shared" si="4"/>
        <v>2</v>
      </c>
    </row>
    <row r="273" spans="1:18" ht="15.75" thickBot="1">
      <c r="A273" s="35" t="s">
        <v>4882</v>
      </c>
      <c r="B273" s="23" t="s">
        <v>641</v>
      </c>
      <c r="C273" s="23">
        <v>3</v>
      </c>
      <c r="D273" s="23">
        <v>2</v>
      </c>
      <c r="E273" s="23">
        <v>1</v>
      </c>
      <c r="F273" s="23">
        <v>1</v>
      </c>
      <c r="G273" s="23">
        <v>1</v>
      </c>
      <c r="H273" s="23">
        <v>1</v>
      </c>
      <c r="I273" s="23" t="s">
        <v>22</v>
      </c>
      <c r="J273" s="23">
        <v>3</v>
      </c>
      <c r="K273" s="23"/>
      <c r="L273" s="23"/>
      <c r="M273" s="23"/>
      <c r="N273" s="24"/>
      <c r="O273" s="23">
        <v>120</v>
      </c>
      <c r="R273">
        <f t="shared" si="4"/>
        <v>1</v>
      </c>
    </row>
    <row r="274" spans="1:18" ht="15.75" thickBot="1">
      <c r="A274" s="35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4"/>
      <c r="O274" s="23"/>
      <c r="R274" t="e">
        <f t="shared" si="4"/>
        <v>#DIV/0!</v>
      </c>
    </row>
    <row r="275" spans="1:18" ht="15.75" thickBot="1">
      <c r="A275" s="35" t="s">
        <v>4883</v>
      </c>
      <c r="B275" s="23" t="s">
        <v>732</v>
      </c>
      <c r="C275" s="23">
        <v>5</v>
      </c>
      <c r="D275" s="23">
        <v>1</v>
      </c>
      <c r="E275" s="23">
        <v>4</v>
      </c>
      <c r="F275" s="23">
        <v>1</v>
      </c>
      <c r="G275" s="23">
        <v>1</v>
      </c>
      <c r="H275" s="23" t="s">
        <v>22</v>
      </c>
      <c r="I275" s="23" t="s">
        <v>22</v>
      </c>
      <c r="J275" s="25">
        <v>1.5</v>
      </c>
      <c r="K275" s="23"/>
      <c r="L275" s="23"/>
      <c r="M275" s="23"/>
      <c r="N275" s="24"/>
      <c r="O275" s="23">
        <v>190</v>
      </c>
      <c r="R275">
        <f t="shared" si="4"/>
        <v>0.3</v>
      </c>
    </row>
    <row r="276" spans="1:18" ht="15.75" thickBot="1">
      <c r="A276" s="35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4"/>
      <c r="O276" s="23"/>
      <c r="R276" t="e">
        <f t="shared" si="4"/>
        <v>#DIV/0!</v>
      </c>
    </row>
    <row r="277" spans="1:18" ht="15.75" thickBot="1">
      <c r="A277" s="35" t="s">
        <v>323</v>
      </c>
      <c r="B277" s="23" t="s">
        <v>733</v>
      </c>
      <c r="C277" s="23">
        <v>3</v>
      </c>
      <c r="D277" s="23" t="s">
        <v>22</v>
      </c>
      <c r="E277" s="23" t="s">
        <v>51</v>
      </c>
      <c r="F277" s="23">
        <v>2</v>
      </c>
      <c r="G277" s="23">
        <v>1</v>
      </c>
      <c r="H277" s="23" t="s">
        <v>22</v>
      </c>
      <c r="I277" s="23" t="s">
        <v>22</v>
      </c>
      <c r="J277" s="23">
        <v>2</v>
      </c>
      <c r="K277" s="23"/>
      <c r="L277" s="23"/>
      <c r="M277" s="23"/>
      <c r="N277" s="24"/>
      <c r="O277" s="23">
        <v>456</v>
      </c>
      <c r="R277">
        <f t="shared" si="4"/>
        <v>0.66666666666666663</v>
      </c>
    </row>
    <row r="278" spans="1:18" ht="15.75" thickBot="1">
      <c r="A278" s="35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4"/>
      <c r="O278" s="23"/>
      <c r="R278" t="e">
        <f t="shared" si="4"/>
        <v>#DIV/0!</v>
      </c>
    </row>
    <row r="279" spans="1:18" ht="15.75" thickBot="1">
      <c r="A279" s="35" t="s">
        <v>324</v>
      </c>
      <c r="B279" s="23" t="s">
        <v>734</v>
      </c>
      <c r="C279" s="23">
        <v>8</v>
      </c>
      <c r="D279" s="23">
        <v>2</v>
      </c>
      <c r="E279" s="23">
        <v>6</v>
      </c>
      <c r="F279" s="23" t="s">
        <v>22</v>
      </c>
      <c r="G279" s="23">
        <v>1</v>
      </c>
      <c r="H279" s="23" t="s">
        <v>22</v>
      </c>
      <c r="I279" s="23" t="s">
        <v>22</v>
      </c>
      <c r="J279" s="23" t="s">
        <v>22</v>
      </c>
      <c r="K279" s="23"/>
      <c r="L279" s="23"/>
      <c r="M279" s="23"/>
      <c r="N279" s="24"/>
      <c r="O279" s="23">
        <v>159</v>
      </c>
      <c r="R279" t="e">
        <f t="shared" si="4"/>
        <v>#VALUE!</v>
      </c>
    </row>
    <row r="280" spans="1:18" ht="15.75" thickBot="1">
      <c r="A280" s="35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4"/>
      <c r="O280" s="23"/>
      <c r="R280" t="e">
        <f t="shared" si="4"/>
        <v>#DIV/0!</v>
      </c>
    </row>
    <row r="281" spans="1:18" ht="15.75" thickBot="1">
      <c r="A281" s="35" t="s">
        <v>325</v>
      </c>
      <c r="B281" s="23" t="s">
        <v>735</v>
      </c>
      <c r="C281" s="23">
        <v>3</v>
      </c>
      <c r="D281" s="23">
        <v>2</v>
      </c>
      <c r="E281" s="23">
        <v>1</v>
      </c>
      <c r="F281" s="23">
        <v>1</v>
      </c>
      <c r="G281" s="23">
        <v>1</v>
      </c>
      <c r="H281" s="23" t="s">
        <v>22</v>
      </c>
      <c r="I281" s="23" t="s">
        <v>22</v>
      </c>
      <c r="J281" s="23">
        <v>3</v>
      </c>
      <c r="K281" s="23"/>
      <c r="L281" s="23"/>
      <c r="M281" s="23"/>
      <c r="N281" s="24"/>
      <c r="O281" s="23" t="s">
        <v>22</v>
      </c>
      <c r="R281">
        <f t="shared" si="4"/>
        <v>1</v>
      </c>
    </row>
    <row r="282" spans="1:18" ht="15.75" thickBot="1">
      <c r="A282" s="35" t="s">
        <v>326</v>
      </c>
      <c r="B282" s="23" t="s">
        <v>736</v>
      </c>
      <c r="C282" s="23">
        <v>4</v>
      </c>
      <c r="D282" s="23">
        <v>2</v>
      </c>
      <c r="E282" s="23">
        <v>2</v>
      </c>
      <c r="F282" s="23">
        <v>1</v>
      </c>
      <c r="G282" s="23">
        <v>1</v>
      </c>
      <c r="H282" s="23" t="s">
        <v>22</v>
      </c>
      <c r="I282" s="23" t="s">
        <v>22</v>
      </c>
      <c r="J282" s="23">
        <v>3</v>
      </c>
      <c r="K282" s="23"/>
      <c r="L282" s="23"/>
      <c r="M282" s="23"/>
      <c r="N282" s="24"/>
      <c r="O282" s="23">
        <v>758</v>
      </c>
      <c r="R282">
        <f t="shared" si="4"/>
        <v>0.75</v>
      </c>
    </row>
    <row r="283" spans="1:18" ht="15.75" thickBot="1">
      <c r="A283" s="35" t="s">
        <v>327</v>
      </c>
      <c r="B283" s="23" t="s">
        <v>737</v>
      </c>
      <c r="C283" s="23">
        <v>3</v>
      </c>
      <c r="D283" s="23" t="s">
        <v>22</v>
      </c>
      <c r="E283" s="23" t="s">
        <v>22</v>
      </c>
      <c r="F283" s="23" t="s">
        <v>22</v>
      </c>
      <c r="G283" s="23">
        <v>1</v>
      </c>
      <c r="H283" s="23" t="s">
        <v>22</v>
      </c>
      <c r="I283" s="23" t="s">
        <v>22</v>
      </c>
      <c r="J283" s="23" t="s">
        <v>648</v>
      </c>
      <c r="K283" s="23"/>
      <c r="L283" s="23"/>
      <c r="M283" s="23"/>
      <c r="N283" s="24"/>
      <c r="O283" s="23" t="s">
        <v>22</v>
      </c>
      <c r="R283" t="e">
        <f t="shared" si="4"/>
        <v>#VALUE!</v>
      </c>
    </row>
    <row r="284" spans="1:18" ht="15.75" thickBot="1">
      <c r="A284" s="35" t="s">
        <v>328</v>
      </c>
      <c r="B284" s="23" t="s">
        <v>738</v>
      </c>
      <c r="C284" s="23">
        <v>11</v>
      </c>
      <c r="D284" s="23">
        <v>3</v>
      </c>
      <c r="E284" s="23">
        <v>8</v>
      </c>
      <c r="F284" s="23">
        <v>2</v>
      </c>
      <c r="G284" s="23" t="s">
        <v>681</v>
      </c>
      <c r="H284" s="23" t="s">
        <v>22</v>
      </c>
      <c r="I284" s="23">
        <v>3</v>
      </c>
      <c r="J284" s="23">
        <v>10</v>
      </c>
      <c r="K284" s="23"/>
      <c r="L284" s="23"/>
      <c r="M284" s="23"/>
      <c r="N284" s="24"/>
      <c r="O284" s="23">
        <v>448</v>
      </c>
      <c r="R284">
        <f t="shared" si="4"/>
        <v>0.90909090909090906</v>
      </c>
    </row>
    <row r="285" spans="1:18" ht="15.75" thickBot="1">
      <c r="A285" s="35" t="s">
        <v>329</v>
      </c>
      <c r="B285" s="23" t="s">
        <v>739</v>
      </c>
      <c r="C285" s="23">
        <v>2</v>
      </c>
      <c r="D285" s="23">
        <v>1</v>
      </c>
      <c r="E285" s="23">
        <v>1</v>
      </c>
      <c r="F285" s="23" t="s">
        <v>22</v>
      </c>
      <c r="G285" s="23">
        <v>1</v>
      </c>
      <c r="H285" s="23" t="s">
        <v>22</v>
      </c>
      <c r="I285" s="23" t="s">
        <v>22</v>
      </c>
      <c r="J285" s="23">
        <v>4</v>
      </c>
      <c r="K285" s="23"/>
      <c r="L285" s="23"/>
      <c r="M285" s="23"/>
      <c r="N285" s="24"/>
      <c r="O285" s="23" t="s">
        <v>22</v>
      </c>
      <c r="R285">
        <f t="shared" si="4"/>
        <v>2</v>
      </c>
    </row>
    <row r="286" spans="1:18" ht="15.75" thickBot="1">
      <c r="A286" s="35" t="s">
        <v>330</v>
      </c>
      <c r="B286" s="23" t="s">
        <v>740</v>
      </c>
      <c r="C286" s="23">
        <v>7</v>
      </c>
      <c r="D286" s="23">
        <v>4</v>
      </c>
      <c r="E286" s="23">
        <v>3</v>
      </c>
      <c r="F286" s="23">
        <v>1</v>
      </c>
      <c r="G286" s="23">
        <v>2</v>
      </c>
      <c r="H286" s="23" t="s">
        <v>22</v>
      </c>
      <c r="I286" s="23" t="s">
        <v>22</v>
      </c>
      <c r="J286" s="23">
        <v>7</v>
      </c>
      <c r="K286" s="23"/>
      <c r="L286" s="23"/>
      <c r="M286" s="23"/>
      <c r="N286" s="24"/>
      <c r="O286" s="23">
        <v>450</v>
      </c>
      <c r="R286">
        <f t="shared" si="4"/>
        <v>1</v>
      </c>
    </row>
    <row r="287" spans="1:18" ht="15.75" thickBot="1">
      <c r="A287" s="35" t="s">
        <v>331</v>
      </c>
      <c r="B287" s="23" t="s">
        <v>631</v>
      </c>
      <c r="C287" s="23">
        <v>5</v>
      </c>
      <c r="D287" s="23">
        <v>1</v>
      </c>
      <c r="E287" s="23">
        <v>4</v>
      </c>
      <c r="F287" s="23">
        <v>1</v>
      </c>
      <c r="G287" s="23">
        <v>1</v>
      </c>
      <c r="H287" s="23" t="s">
        <v>22</v>
      </c>
      <c r="I287" s="23" t="s">
        <v>22</v>
      </c>
      <c r="J287" s="23">
        <v>4</v>
      </c>
      <c r="K287" s="23"/>
      <c r="L287" s="23"/>
      <c r="M287" s="23"/>
      <c r="N287" s="24"/>
      <c r="O287" s="23">
        <v>374</v>
      </c>
      <c r="R287">
        <f t="shared" si="4"/>
        <v>0.8</v>
      </c>
    </row>
    <row r="288" spans="1:18" ht="15.75" thickBot="1">
      <c r="A288" s="35" t="s">
        <v>332</v>
      </c>
      <c r="B288" s="23" t="s">
        <v>741</v>
      </c>
      <c r="C288" s="23">
        <v>5</v>
      </c>
      <c r="D288" s="23">
        <v>2</v>
      </c>
      <c r="E288" s="23">
        <v>3</v>
      </c>
      <c r="F288" s="23">
        <v>2</v>
      </c>
      <c r="G288" s="23">
        <v>2</v>
      </c>
      <c r="H288" s="23" t="s">
        <v>22</v>
      </c>
      <c r="I288" s="23">
        <v>1</v>
      </c>
      <c r="J288" s="23">
        <v>7</v>
      </c>
      <c r="K288" s="23"/>
      <c r="L288" s="23"/>
      <c r="M288" s="23"/>
      <c r="N288" s="24"/>
      <c r="O288" s="23">
        <v>449</v>
      </c>
      <c r="R288">
        <f t="shared" si="4"/>
        <v>1.4</v>
      </c>
    </row>
    <row r="289" spans="1:18" ht="15.75" thickBot="1">
      <c r="A289" s="35" t="s">
        <v>333</v>
      </c>
      <c r="B289" s="23" t="s">
        <v>742</v>
      </c>
      <c r="C289" s="23">
        <v>12</v>
      </c>
      <c r="D289" s="23">
        <v>4</v>
      </c>
      <c r="E289" s="23">
        <v>8</v>
      </c>
      <c r="F289" s="23">
        <v>2</v>
      </c>
      <c r="G289" s="23">
        <v>2</v>
      </c>
      <c r="H289" s="23" t="s">
        <v>22</v>
      </c>
      <c r="I289" s="23" t="s">
        <v>22</v>
      </c>
      <c r="J289" s="23">
        <v>10</v>
      </c>
      <c r="K289" s="23"/>
      <c r="L289" s="23"/>
      <c r="M289" s="23"/>
      <c r="N289" s="24"/>
      <c r="O289" s="23">
        <v>451</v>
      </c>
      <c r="R289">
        <f t="shared" si="4"/>
        <v>0.83333333333333337</v>
      </c>
    </row>
    <row r="290" spans="1:18" ht="15.75" thickBot="1">
      <c r="A290" s="35" t="s">
        <v>334</v>
      </c>
      <c r="B290" s="23" t="s">
        <v>743</v>
      </c>
      <c r="C290" s="23">
        <v>9</v>
      </c>
      <c r="D290" s="23">
        <v>2</v>
      </c>
      <c r="E290" s="23">
        <v>7</v>
      </c>
      <c r="F290" s="23">
        <v>2</v>
      </c>
      <c r="G290" s="23">
        <v>1</v>
      </c>
      <c r="H290" s="23" t="s">
        <v>22</v>
      </c>
      <c r="I290" s="23" t="s">
        <v>22</v>
      </c>
      <c r="J290" s="23">
        <v>8</v>
      </c>
      <c r="K290" s="23"/>
      <c r="L290" s="23"/>
      <c r="M290" s="23"/>
      <c r="N290" s="24"/>
      <c r="O290" s="23">
        <v>389</v>
      </c>
      <c r="R290">
        <f t="shared" si="4"/>
        <v>0.88888888888888884</v>
      </c>
    </row>
    <row r="291" spans="1:18" ht="15.75" thickBot="1">
      <c r="A291" s="35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4"/>
      <c r="O291" s="23"/>
      <c r="R291" t="e">
        <f t="shared" si="4"/>
        <v>#DIV/0!</v>
      </c>
    </row>
    <row r="292" spans="1:18" ht="15.75" thickBot="1">
      <c r="A292" s="35" t="s">
        <v>335</v>
      </c>
      <c r="B292" s="23" t="s">
        <v>744</v>
      </c>
      <c r="C292" s="23">
        <v>5</v>
      </c>
      <c r="D292" s="23">
        <v>1</v>
      </c>
      <c r="E292" s="23">
        <v>4</v>
      </c>
      <c r="F292" s="23">
        <v>2</v>
      </c>
      <c r="G292" s="23">
        <v>1</v>
      </c>
      <c r="H292" s="23" t="s">
        <v>22</v>
      </c>
      <c r="I292" s="23" t="s">
        <v>22</v>
      </c>
      <c r="J292" s="23">
        <v>10</v>
      </c>
      <c r="K292" s="23"/>
      <c r="L292" s="23"/>
      <c r="M292" s="23"/>
      <c r="N292" s="24"/>
      <c r="O292" s="23">
        <v>399</v>
      </c>
      <c r="R292">
        <f t="shared" si="4"/>
        <v>2</v>
      </c>
    </row>
    <row r="293" spans="1:18" ht="15.75" thickBot="1">
      <c r="A293" s="35" t="s">
        <v>336</v>
      </c>
      <c r="B293" s="23" t="s">
        <v>745</v>
      </c>
      <c r="C293" s="23">
        <v>4</v>
      </c>
      <c r="D293" s="23">
        <v>1</v>
      </c>
      <c r="E293" s="23" t="s">
        <v>22</v>
      </c>
      <c r="F293" s="23" t="s">
        <v>22</v>
      </c>
      <c r="G293" s="23" t="s">
        <v>22</v>
      </c>
      <c r="H293" s="23" t="s">
        <v>22</v>
      </c>
      <c r="I293" s="23" t="s">
        <v>22</v>
      </c>
      <c r="J293" s="23" t="s">
        <v>22</v>
      </c>
      <c r="K293" s="23"/>
      <c r="L293" s="23"/>
      <c r="M293" s="23"/>
      <c r="N293" s="24"/>
      <c r="O293" s="23">
        <v>461</v>
      </c>
      <c r="R293" t="e">
        <f t="shared" si="4"/>
        <v>#VALUE!</v>
      </c>
    </row>
    <row r="294" spans="1:18" ht="15.75" thickBot="1">
      <c r="A294" s="35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4"/>
      <c r="O294" s="23"/>
      <c r="R294" t="e">
        <f t="shared" si="4"/>
        <v>#DIV/0!</v>
      </c>
    </row>
    <row r="295" spans="1:18" ht="15.75" thickBot="1">
      <c r="A295" s="35" t="s">
        <v>337</v>
      </c>
      <c r="B295" s="23" t="s">
        <v>746</v>
      </c>
      <c r="C295" s="23">
        <v>6</v>
      </c>
      <c r="D295" s="23">
        <v>2</v>
      </c>
      <c r="E295" s="23">
        <v>4</v>
      </c>
      <c r="F295" s="23">
        <v>1</v>
      </c>
      <c r="G295" s="23">
        <v>1</v>
      </c>
      <c r="H295" s="23" t="s">
        <v>22</v>
      </c>
      <c r="I295" s="23" t="s">
        <v>22</v>
      </c>
      <c r="J295" s="23">
        <v>4</v>
      </c>
      <c r="K295" s="23"/>
      <c r="L295" s="23"/>
      <c r="M295" s="23"/>
      <c r="N295" s="24"/>
      <c r="O295" s="23" t="s">
        <v>22</v>
      </c>
      <c r="R295">
        <f t="shared" si="4"/>
        <v>0.66666666666666663</v>
      </c>
    </row>
    <row r="296" spans="1:18" ht="15.75" thickBot="1">
      <c r="A296" s="35" t="s">
        <v>338</v>
      </c>
      <c r="B296" s="23" t="s">
        <v>747</v>
      </c>
      <c r="C296" s="23">
        <v>5</v>
      </c>
      <c r="D296" s="23" t="s">
        <v>22</v>
      </c>
      <c r="E296" s="23">
        <v>5</v>
      </c>
      <c r="F296" s="23">
        <v>2</v>
      </c>
      <c r="G296" s="23">
        <v>1</v>
      </c>
      <c r="H296" s="23" t="s">
        <v>22</v>
      </c>
      <c r="I296" s="23" t="s">
        <v>22</v>
      </c>
      <c r="J296" s="23">
        <v>8</v>
      </c>
      <c r="K296" s="23"/>
      <c r="L296" s="23"/>
      <c r="M296" s="23"/>
      <c r="N296" s="24"/>
      <c r="O296" s="23">
        <v>682</v>
      </c>
      <c r="R296">
        <f t="shared" si="4"/>
        <v>1.6</v>
      </c>
    </row>
    <row r="297" spans="1:18" ht="15.75" thickBot="1">
      <c r="A297" s="35" t="s">
        <v>339</v>
      </c>
      <c r="B297" s="23" t="s">
        <v>748</v>
      </c>
      <c r="C297" s="23">
        <v>4</v>
      </c>
      <c r="D297" s="23" t="s">
        <v>22</v>
      </c>
      <c r="E297" s="23">
        <v>4</v>
      </c>
      <c r="F297" s="23">
        <v>1</v>
      </c>
      <c r="G297" s="23">
        <v>1</v>
      </c>
      <c r="H297" s="23" t="s">
        <v>22</v>
      </c>
      <c r="I297" s="23" t="s">
        <v>22</v>
      </c>
      <c r="J297" s="23">
        <v>6</v>
      </c>
      <c r="K297" s="23"/>
      <c r="L297" s="23"/>
      <c r="M297" s="23"/>
      <c r="N297" s="24"/>
      <c r="O297" s="23">
        <v>86</v>
      </c>
      <c r="R297">
        <f t="shared" si="4"/>
        <v>1.5</v>
      </c>
    </row>
    <row r="298" spans="1:18" ht="15.75" thickBot="1">
      <c r="A298" s="35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4"/>
      <c r="O298" s="23"/>
      <c r="R298" t="e">
        <f t="shared" si="4"/>
        <v>#DIV/0!</v>
      </c>
    </row>
    <row r="299" spans="1:18" ht="15.75" thickBot="1">
      <c r="A299" s="35" t="s">
        <v>340</v>
      </c>
      <c r="B299" s="23" t="s">
        <v>749</v>
      </c>
      <c r="C299" s="23">
        <v>2</v>
      </c>
      <c r="D299" s="23" t="s">
        <v>22</v>
      </c>
      <c r="E299" s="23">
        <v>2</v>
      </c>
      <c r="F299" s="23" t="s">
        <v>22</v>
      </c>
      <c r="G299" s="23">
        <v>1</v>
      </c>
      <c r="H299" s="23" t="s">
        <v>22</v>
      </c>
      <c r="I299" s="23" t="s">
        <v>22</v>
      </c>
      <c r="J299" s="23">
        <v>2</v>
      </c>
      <c r="K299" s="23"/>
      <c r="L299" s="23"/>
      <c r="M299" s="23"/>
      <c r="N299" s="24"/>
      <c r="O299" s="23">
        <v>683</v>
      </c>
      <c r="R299">
        <f t="shared" si="4"/>
        <v>1</v>
      </c>
    </row>
    <row r="300" spans="1:18" ht="15.75" thickBot="1">
      <c r="A300" s="35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4"/>
      <c r="O300" s="23"/>
      <c r="R300" t="e">
        <f t="shared" si="4"/>
        <v>#DIV/0!</v>
      </c>
    </row>
    <row r="301" spans="1:18" ht="15.75" thickBot="1">
      <c r="A301" s="35" t="s">
        <v>341</v>
      </c>
      <c r="B301" s="23" t="s">
        <v>624</v>
      </c>
      <c r="C301" s="23">
        <v>3</v>
      </c>
      <c r="D301" s="23">
        <v>2</v>
      </c>
      <c r="E301" s="23">
        <v>1</v>
      </c>
      <c r="F301" s="23" t="s">
        <v>22</v>
      </c>
      <c r="G301" s="23">
        <v>1</v>
      </c>
      <c r="H301" s="23" t="s">
        <v>22</v>
      </c>
      <c r="I301" s="23" t="s">
        <v>22</v>
      </c>
      <c r="J301" s="23">
        <v>1</v>
      </c>
      <c r="K301" s="23"/>
      <c r="L301" s="23"/>
      <c r="M301" s="23"/>
      <c r="N301" s="24"/>
      <c r="O301" s="23">
        <v>612</v>
      </c>
      <c r="R301">
        <f t="shared" si="4"/>
        <v>0.33333333333333331</v>
      </c>
    </row>
    <row r="302" spans="1:18" ht="15.75" thickBot="1">
      <c r="A302" s="35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4"/>
      <c r="O302" s="23"/>
      <c r="R302" t="e">
        <f t="shared" si="4"/>
        <v>#DIV/0!</v>
      </c>
    </row>
    <row r="303" spans="1:18" ht="15.75" thickBot="1">
      <c r="A303" s="35" t="s">
        <v>342</v>
      </c>
      <c r="B303" s="23" t="s">
        <v>750</v>
      </c>
      <c r="C303" s="23">
        <v>5</v>
      </c>
      <c r="D303" s="23">
        <v>2</v>
      </c>
      <c r="E303" s="23">
        <v>3</v>
      </c>
      <c r="F303" s="23">
        <v>1</v>
      </c>
      <c r="G303" s="23">
        <v>1</v>
      </c>
      <c r="H303" s="23" t="s">
        <v>22</v>
      </c>
      <c r="I303" s="23" t="s">
        <v>22</v>
      </c>
      <c r="J303" s="23" t="s">
        <v>639</v>
      </c>
      <c r="K303" s="23"/>
      <c r="L303" s="23"/>
      <c r="M303" s="23"/>
      <c r="N303" s="24"/>
      <c r="O303" s="23">
        <v>275</v>
      </c>
      <c r="R303" t="e">
        <f t="shared" si="4"/>
        <v>#VALUE!</v>
      </c>
    </row>
    <row r="304" spans="1:18" ht="15.75" thickBot="1">
      <c r="A304" s="35" t="s">
        <v>343</v>
      </c>
      <c r="B304" s="23" t="s">
        <v>751</v>
      </c>
      <c r="C304" s="23">
        <v>6</v>
      </c>
      <c r="D304" s="23">
        <v>1</v>
      </c>
      <c r="E304" s="23">
        <v>5</v>
      </c>
      <c r="F304" s="23" t="s">
        <v>22</v>
      </c>
      <c r="G304" s="23">
        <v>1</v>
      </c>
      <c r="H304" s="23" t="s">
        <v>22</v>
      </c>
      <c r="I304" s="23" t="s">
        <v>22</v>
      </c>
      <c r="J304" s="23">
        <v>6</v>
      </c>
      <c r="K304" s="23"/>
      <c r="L304" s="23"/>
      <c r="M304" s="23"/>
      <c r="N304" s="24"/>
      <c r="O304" s="23" t="s">
        <v>22</v>
      </c>
      <c r="R304">
        <f t="shared" si="4"/>
        <v>1</v>
      </c>
    </row>
    <row r="305" spans="1:18" ht="15.75" thickBot="1">
      <c r="A305" s="35" t="s">
        <v>344</v>
      </c>
      <c r="B305" s="23" t="s">
        <v>634</v>
      </c>
      <c r="C305" s="23">
        <v>2</v>
      </c>
      <c r="D305" s="23" t="s">
        <v>22</v>
      </c>
      <c r="E305" s="23">
        <v>2</v>
      </c>
      <c r="F305" s="23">
        <v>1</v>
      </c>
      <c r="G305" s="23">
        <v>1</v>
      </c>
      <c r="H305" s="23" t="s">
        <v>22</v>
      </c>
      <c r="I305" s="23" t="s">
        <v>22</v>
      </c>
      <c r="J305" s="23">
        <v>4</v>
      </c>
      <c r="K305" s="23"/>
      <c r="L305" s="23"/>
      <c r="M305" s="23"/>
      <c r="N305" s="24"/>
      <c r="O305" s="23" t="s">
        <v>22</v>
      </c>
      <c r="R305">
        <f t="shared" si="4"/>
        <v>2</v>
      </c>
    </row>
    <row r="306" spans="1:18" ht="15.75" thickBot="1">
      <c r="A306" s="35" t="s">
        <v>345</v>
      </c>
      <c r="B306" s="23" t="s">
        <v>631</v>
      </c>
      <c r="C306" s="23">
        <v>4</v>
      </c>
      <c r="D306" s="23">
        <v>2</v>
      </c>
      <c r="E306" s="23">
        <v>2</v>
      </c>
      <c r="F306" s="23" t="s">
        <v>22</v>
      </c>
      <c r="G306" s="23">
        <v>1</v>
      </c>
      <c r="H306" s="23" t="s">
        <v>22</v>
      </c>
      <c r="I306" s="23" t="s">
        <v>22</v>
      </c>
      <c r="J306" s="23">
        <v>4</v>
      </c>
      <c r="K306" s="23"/>
      <c r="L306" s="23"/>
      <c r="M306" s="23"/>
      <c r="N306" s="24"/>
      <c r="O306" s="23">
        <v>84</v>
      </c>
      <c r="R306">
        <f t="shared" si="4"/>
        <v>1</v>
      </c>
    </row>
    <row r="307" spans="1:18" ht="15.75" thickBot="1">
      <c r="A307" s="35" t="s">
        <v>346</v>
      </c>
      <c r="B307" s="23" t="s">
        <v>634</v>
      </c>
      <c r="C307" s="23">
        <v>5</v>
      </c>
      <c r="D307" s="23">
        <v>3</v>
      </c>
      <c r="E307" s="23">
        <v>2</v>
      </c>
      <c r="F307" s="23">
        <v>1</v>
      </c>
      <c r="G307" s="23">
        <v>1</v>
      </c>
      <c r="H307" s="23" t="s">
        <v>22</v>
      </c>
      <c r="I307" s="23" t="s">
        <v>22</v>
      </c>
      <c r="J307" s="23">
        <v>6</v>
      </c>
      <c r="K307" s="23"/>
      <c r="L307" s="23"/>
      <c r="M307" s="23"/>
      <c r="N307" s="24"/>
      <c r="O307" s="23">
        <v>277</v>
      </c>
      <c r="R307">
        <f t="shared" si="4"/>
        <v>1.2</v>
      </c>
    </row>
    <row r="308" spans="1:18" ht="15.75" thickBot="1">
      <c r="A308" s="35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4"/>
      <c r="O308" s="23"/>
      <c r="R308" t="e">
        <f t="shared" si="4"/>
        <v>#DIV/0!</v>
      </c>
    </row>
    <row r="309" spans="1:18" ht="15.75" thickBot="1">
      <c r="A309" s="35" t="s">
        <v>347</v>
      </c>
      <c r="B309" s="23" t="s">
        <v>630</v>
      </c>
      <c r="C309" s="23">
        <v>8</v>
      </c>
      <c r="D309" s="23">
        <v>7</v>
      </c>
      <c r="E309" s="23">
        <v>1</v>
      </c>
      <c r="F309" s="23">
        <v>1</v>
      </c>
      <c r="G309" s="23">
        <v>1</v>
      </c>
      <c r="H309" s="23" t="s">
        <v>22</v>
      </c>
      <c r="I309" s="23" t="s">
        <v>22</v>
      </c>
      <c r="J309" s="23">
        <v>11</v>
      </c>
      <c r="K309" s="23"/>
      <c r="L309" s="23"/>
      <c r="M309" s="23"/>
      <c r="N309" s="24"/>
      <c r="O309" s="23" t="s">
        <v>22</v>
      </c>
      <c r="R309">
        <f t="shared" si="4"/>
        <v>1.375</v>
      </c>
    </row>
    <row r="310" spans="1:18" ht="15.75" thickBot="1">
      <c r="A310" s="35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4"/>
      <c r="O310" s="23"/>
      <c r="R310" t="e">
        <f t="shared" si="4"/>
        <v>#DIV/0!</v>
      </c>
    </row>
    <row r="311" spans="1:18" ht="15.75" thickBot="1">
      <c r="A311" s="35" t="s">
        <v>348</v>
      </c>
      <c r="B311" s="23" t="s">
        <v>752</v>
      </c>
      <c r="C311" s="23">
        <v>12</v>
      </c>
      <c r="D311" s="23">
        <v>2</v>
      </c>
      <c r="E311" s="23">
        <v>10</v>
      </c>
      <c r="F311" s="23">
        <v>2</v>
      </c>
      <c r="G311" s="23">
        <v>2</v>
      </c>
      <c r="H311" s="23" t="s">
        <v>22</v>
      </c>
      <c r="I311" s="23">
        <v>1</v>
      </c>
      <c r="J311" s="23">
        <v>9</v>
      </c>
      <c r="K311" s="23"/>
      <c r="L311" s="23"/>
      <c r="M311" s="23"/>
      <c r="N311" s="24"/>
      <c r="O311" s="23">
        <v>18</v>
      </c>
      <c r="R311">
        <f t="shared" si="4"/>
        <v>0.75</v>
      </c>
    </row>
    <row r="312" spans="1:18" ht="15.75" thickBot="1">
      <c r="A312" s="35" t="s">
        <v>349</v>
      </c>
      <c r="B312" s="23" t="s">
        <v>710</v>
      </c>
      <c r="C312" s="23">
        <v>3</v>
      </c>
      <c r="D312" s="23">
        <v>2</v>
      </c>
      <c r="E312" s="23">
        <v>1</v>
      </c>
      <c r="F312" s="23">
        <v>1</v>
      </c>
      <c r="G312" s="23">
        <v>1</v>
      </c>
      <c r="H312" s="23" t="s">
        <v>22</v>
      </c>
      <c r="I312" s="23" t="s">
        <v>22</v>
      </c>
      <c r="J312" s="23">
        <v>8</v>
      </c>
      <c r="K312" s="23"/>
      <c r="L312" s="23"/>
      <c r="M312" s="23"/>
      <c r="N312" s="24"/>
      <c r="O312" s="23">
        <v>865</v>
      </c>
      <c r="R312">
        <f t="shared" si="4"/>
        <v>2.6666666666666665</v>
      </c>
    </row>
    <row r="313" spans="1:18" ht="15.75" thickBot="1">
      <c r="A313" s="35" t="s">
        <v>350</v>
      </c>
      <c r="B313" s="23" t="s">
        <v>643</v>
      </c>
      <c r="C313" s="23">
        <v>5</v>
      </c>
      <c r="D313" s="23">
        <v>2</v>
      </c>
      <c r="E313" s="23">
        <v>3</v>
      </c>
      <c r="F313" s="23">
        <v>1</v>
      </c>
      <c r="G313" s="23">
        <v>1</v>
      </c>
      <c r="H313" s="23" t="s">
        <v>22</v>
      </c>
      <c r="I313" s="23">
        <v>1</v>
      </c>
      <c r="J313" s="23">
        <v>7</v>
      </c>
      <c r="K313" s="23"/>
      <c r="L313" s="23"/>
      <c r="M313" s="23"/>
      <c r="N313" s="24"/>
      <c r="O313" s="23">
        <v>778</v>
      </c>
      <c r="R313">
        <f t="shared" si="4"/>
        <v>1.4</v>
      </c>
    </row>
    <row r="314" spans="1:18" ht="15.75" thickBot="1">
      <c r="A314" s="35" t="s">
        <v>351</v>
      </c>
      <c r="B314" s="23" t="s">
        <v>710</v>
      </c>
      <c r="C314" s="23">
        <v>6</v>
      </c>
      <c r="D314" s="23">
        <v>2</v>
      </c>
      <c r="E314" s="23">
        <v>4</v>
      </c>
      <c r="F314" s="23">
        <v>1</v>
      </c>
      <c r="G314" s="23">
        <v>1</v>
      </c>
      <c r="H314" s="23" t="s">
        <v>22</v>
      </c>
      <c r="I314" s="23" t="s">
        <v>22</v>
      </c>
      <c r="J314" s="23">
        <v>9</v>
      </c>
      <c r="K314" s="23"/>
      <c r="L314" s="23"/>
      <c r="M314" s="23"/>
      <c r="N314" s="24"/>
      <c r="O314" s="23" t="s">
        <v>22</v>
      </c>
      <c r="R314">
        <f t="shared" si="4"/>
        <v>1.5</v>
      </c>
    </row>
    <row r="315" spans="1:18" ht="15.75" thickBot="1">
      <c r="A315" s="35" t="s">
        <v>352</v>
      </c>
      <c r="B315" s="23" t="s">
        <v>753</v>
      </c>
      <c r="C315" s="23">
        <v>8</v>
      </c>
      <c r="D315" s="23">
        <v>3</v>
      </c>
      <c r="E315" s="23">
        <v>5</v>
      </c>
      <c r="F315" s="23">
        <v>1</v>
      </c>
      <c r="G315" s="23">
        <v>1</v>
      </c>
      <c r="H315" s="23" t="s">
        <v>22</v>
      </c>
      <c r="I315" s="23" t="s">
        <v>22</v>
      </c>
      <c r="J315" s="23">
        <v>5</v>
      </c>
      <c r="K315" s="23"/>
      <c r="L315" s="23"/>
      <c r="M315" s="23"/>
      <c r="N315" s="24"/>
      <c r="O315" s="23">
        <v>205</v>
      </c>
      <c r="R315">
        <f t="shared" si="4"/>
        <v>0.625</v>
      </c>
    </row>
    <row r="316" spans="1:18" ht="15.75" thickBot="1">
      <c r="A316" s="35" t="s">
        <v>353</v>
      </c>
      <c r="B316" s="23" t="s">
        <v>754</v>
      </c>
      <c r="C316" s="23">
        <v>5</v>
      </c>
      <c r="D316" s="23">
        <v>1</v>
      </c>
      <c r="E316" s="23">
        <v>4</v>
      </c>
      <c r="F316" s="23" t="s">
        <v>22</v>
      </c>
      <c r="G316" s="23">
        <v>1</v>
      </c>
      <c r="H316" s="23" t="s">
        <v>22</v>
      </c>
      <c r="I316" s="23" t="s">
        <v>22</v>
      </c>
      <c r="J316" s="23">
        <v>3</v>
      </c>
      <c r="K316" s="23"/>
      <c r="L316" s="23"/>
      <c r="M316" s="23"/>
      <c r="N316" s="24"/>
      <c r="O316" s="23" t="s">
        <v>22</v>
      </c>
      <c r="R316">
        <f t="shared" si="4"/>
        <v>0.6</v>
      </c>
    </row>
    <row r="317" spans="1:18" ht="15.75" thickBot="1">
      <c r="A317" s="35" t="s">
        <v>354</v>
      </c>
      <c r="B317" s="23" t="s">
        <v>755</v>
      </c>
      <c r="C317" s="23">
        <v>9</v>
      </c>
      <c r="D317" s="23">
        <v>2</v>
      </c>
      <c r="E317" s="23">
        <v>7</v>
      </c>
      <c r="F317" s="23" t="s">
        <v>22</v>
      </c>
      <c r="G317" s="23">
        <v>1</v>
      </c>
      <c r="H317" s="23" t="s">
        <v>22</v>
      </c>
      <c r="I317" s="23" t="s">
        <v>22</v>
      </c>
      <c r="J317" s="23">
        <v>10</v>
      </c>
      <c r="K317" s="23"/>
      <c r="L317" s="23"/>
      <c r="M317" s="23"/>
      <c r="N317" s="24"/>
      <c r="O317" s="23" t="s">
        <v>22</v>
      </c>
      <c r="R317">
        <f t="shared" si="4"/>
        <v>1.1111111111111112</v>
      </c>
    </row>
    <row r="318" spans="1:18" ht="15.75" thickBot="1">
      <c r="A318" s="35" t="s">
        <v>355</v>
      </c>
      <c r="B318" s="23" t="s">
        <v>670</v>
      </c>
      <c r="C318" s="23">
        <v>4</v>
      </c>
      <c r="D318" s="23">
        <v>3</v>
      </c>
      <c r="E318" s="23">
        <v>1</v>
      </c>
      <c r="F318" s="23" t="s">
        <v>22</v>
      </c>
      <c r="G318" s="23" t="s">
        <v>22</v>
      </c>
      <c r="H318" s="23" t="s">
        <v>22</v>
      </c>
      <c r="I318" s="23" t="s">
        <v>22</v>
      </c>
      <c r="J318" s="23">
        <v>2</v>
      </c>
      <c r="K318" s="23"/>
      <c r="L318" s="23"/>
      <c r="M318" s="23"/>
      <c r="N318" s="24"/>
      <c r="O318" s="23"/>
      <c r="R318">
        <f t="shared" si="4"/>
        <v>0.5</v>
      </c>
    </row>
    <row r="319" spans="1:18" ht="15.75" thickBot="1">
      <c r="A319" s="35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4"/>
      <c r="O319" s="23"/>
      <c r="R319" t="e">
        <f t="shared" si="4"/>
        <v>#DIV/0!</v>
      </c>
    </row>
    <row r="320" spans="1:18" ht="15.75" thickBot="1">
      <c r="A320" s="35" t="s">
        <v>356</v>
      </c>
      <c r="B320" s="23" t="s">
        <v>756</v>
      </c>
      <c r="C320" s="23">
        <v>5</v>
      </c>
      <c r="D320" s="23">
        <v>1</v>
      </c>
      <c r="E320" s="23"/>
      <c r="F320" s="23" t="s">
        <v>22</v>
      </c>
      <c r="G320" s="23">
        <v>1</v>
      </c>
      <c r="H320" s="23" t="s">
        <v>22</v>
      </c>
      <c r="I320" s="23" t="s">
        <v>22</v>
      </c>
      <c r="J320" s="23">
        <v>4</v>
      </c>
      <c r="K320" s="23"/>
      <c r="L320" s="23"/>
      <c r="M320" s="23"/>
      <c r="N320" s="24" t="s">
        <v>757</v>
      </c>
      <c r="O320" s="23" t="s">
        <v>22</v>
      </c>
      <c r="R320">
        <f t="shared" si="4"/>
        <v>0.8</v>
      </c>
    </row>
    <row r="321" spans="1:18" ht="15.75" thickBot="1">
      <c r="A321" s="35" t="s">
        <v>357</v>
      </c>
      <c r="B321" s="23" t="s">
        <v>710</v>
      </c>
      <c r="C321" s="23">
        <v>2</v>
      </c>
      <c r="D321" s="23" t="s">
        <v>22</v>
      </c>
      <c r="E321" s="23">
        <v>2</v>
      </c>
      <c r="F321" s="23" t="s">
        <v>22</v>
      </c>
      <c r="G321" s="23" t="s">
        <v>22</v>
      </c>
      <c r="H321" s="23" t="s">
        <v>22</v>
      </c>
      <c r="I321" s="23" t="s">
        <v>22</v>
      </c>
      <c r="J321" s="23" t="s">
        <v>22</v>
      </c>
      <c r="K321" s="23"/>
      <c r="L321" s="23"/>
      <c r="M321" s="23"/>
      <c r="N321" s="24"/>
      <c r="O321" s="23" t="s">
        <v>22</v>
      </c>
      <c r="R321" t="e">
        <f t="shared" si="4"/>
        <v>#VALUE!</v>
      </c>
    </row>
    <row r="322" spans="1:18" ht="15.75" thickBot="1">
      <c r="A322" s="35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4"/>
      <c r="O322" s="23"/>
      <c r="R322" t="e">
        <f t="shared" ref="R322:R385" si="5">J322/C322</f>
        <v>#DIV/0!</v>
      </c>
    </row>
    <row r="323" spans="1:18" ht="15.75" thickBot="1">
      <c r="A323" s="35" t="s">
        <v>358</v>
      </c>
      <c r="B323" s="23" t="s">
        <v>643</v>
      </c>
      <c r="C323" s="23">
        <v>8</v>
      </c>
      <c r="D323" s="23">
        <v>3</v>
      </c>
      <c r="E323" s="23">
        <v>5</v>
      </c>
      <c r="F323" s="23">
        <v>1</v>
      </c>
      <c r="G323" s="23">
        <v>1</v>
      </c>
      <c r="H323" s="23" t="s">
        <v>22</v>
      </c>
      <c r="I323" s="23" t="s">
        <v>22</v>
      </c>
      <c r="J323" s="23"/>
      <c r="K323" s="23"/>
      <c r="L323" s="23"/>
      <c r="M323" s="23"/>
      <c r="N323" s="24"/>
      <c r="O323" s="23">
        <v>776</v>
      </c>
      <c r="R323">
        <f t="shared" si="5"/>
        <v>0</v>
      </c>
    </row>
    <row r="324" spans="1:18" ht="15.75" thickBot="1">
      <c r="A324" s="35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4"/>
      <c r="O324" s="23"/>
      <c r="R324" t="e">
        <f t="shared" si="5"/>
        <v>#DIV/0!</v>
      </c>
    </row>
    <row r="325" spans="1:18" ht="15.75" thickBot="1">
      <c r="A325" s="35" t="s">
        <v>359</v>
      </c>
      <c r="B325" s="23" t="s">
        <v>758</v>
      </c>
      <c r="C325" s="23">
        <v>5</v>
      </c>
      <c r="D325" s="23">
        <v>2</v>
      </c>
      <c r="E325" s="23">
        <v>3</v>
      </c>
      <c r="F325" s="23" t="s">
        <v>22</v>
      </c>
      <c r="G325" s="23">
        <v>1</v>
      </c>
      <c r="H325" s="23" t="s">
        <v>22</v>
      </c>
      <c r="I325" s="23" t="s">
        <v>22</v>
      </c>
      <c r="J325" s="23" t="s">
        <v>22</v>
      </c>
      <c r="K325" s="23"/>
      <c r="L325" s="23"/>
      <c r="M325" s="23"/>
      <c r="N325" s="24"/>
      <c r="O325" s="23" t="s">
        <v>22</v>
      </c>
      <c r="R325" t="e">
        <f t="shared" si="5"/>
        <v>#VALUE!</v>
      </c>
    </row>
    <row r="326" spans="1:18" ht="15.75" thickBot="1">
      <c r="A326" s="35" t="s">
        <v>360</v>
      </c>
      <c r="B326" s="23" t="s">
        <v>641</v>
      </c>
      <c r="C326" s="23">
        <v>4</v>
      </c>
      <c r="D326" s="23">
        <v>1</v>
      </c>
      <c r="E326" s="23">
        <v>3</v>
      </c>
      <c r="F326" s="23" t="s">
        <v>22</v>
      </c>
      <c r="G326" s="23">
        <v>1</v>
      </c>
      <c r="H326" s="23" t="s">
        <v>22</v>
      </c>
      <c r="I326" s="23" t="s">
        <v>22</v>
      </c>
      <c r="J326" s="23">
        <v>3</v>
      </c>
      <c r="K326" s="23"/>
      <c r="L326" s="23"/>
      <c r="M326" s="23"/>
      <c r="N326" s="24"/>
      <c r="O326" s="23">
        <v>131</v>
      </c>
      <c r="R326">
        <f t="shared" si="5"/>
        <v>0.75</v>
      </c>
    </row>
    <row r="327" spans="1:18" ht="15.75" thickBot="1">
      <c r="A327" s="35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4"/>
      <c r="O327" s="23"/>
      <c r="R327" t="e">
        <f t="shared" si="5"/>
        <v>#DIV/0!</v>
      </c>
    </row>
    <row r="328" spans="1:18" ht="15.75" thickBot="1">
      <c r="A328" s="35" t="s">
        <v>361</v>
      </c>
      <c r="B328" s="23" t="s">
        <v>759</v>
      </c>
      <c r="C328" s="23">
        <v>5</v>
      </c>
      <c r="D328" s="23">
        <v>1</v>
      </c>
      <c r="E328" s="23">
        <v>4</v>
      </c>
      <c r="F328" s="23">
        <v>1</v>
      </c>
      <c r="G328" s="23">
        <v>1</v>
      </c>
      <c r="H328" s="23" t="s">
        <v>22</v>
      </c>
      <c r="I328" s="23" t="s">
        <v>22</v>
      </c>
      <c r="J328" s="23">
        <v>8</v>
      </c>
      <c r="K328" s="23"/>
      <c r="L328" s="23"/>
      <c r="M328" s="23"/>
      <c r="N328" s="24"/>
      <c r="O328" s="23">
        <v>643</v>
      </c>
      <c r="R328">
        <f t="shared" si="5"/>
        <v>1.6</v>
      </c>
    </row>
    <row r="329" spans="1:18" ht="15.75" thickBot="1">
      <c r="A329" s="35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4"/>
      <c r="O329" s="23"/>
      <c r="R329" t="e">
        <f t="shared" si="5"/>
        <v>#DIV/0!</v>
      </c>
    </row>
    <row r="330" spans="1:18" ht="15.75" thickBot="1">
      <c r="A330" s="35" t="s">
        <v>362</v>
      </c>
      <c r="B330" s="23" t="s">
        <v>760</v>
      </c>
      <c r="C330" s="23">
        <v>4</v>
      </c>
      <c r="D330" s="23" t="s">
        <v>22</v>
      </c>
      <c r="E330" s="23" t="s">
        <v>22</v>
      </c>
      <c r="F330" s="23">
        <v>1</v>
      </c>
      <c r="G330" s="23">
        <v>1</v>
      </c>
      <c r="H330" s="23">
        <v>1</v>
      </c>
      <c r="I330" s="23" t="s">
        <v>22</v>
      </c>
      <c r="J330" s="23">
        <v>4</v>
      </c>
      <c r="K330" s="23"/>
      <c r="L330" s="23"/>
      <c r="M330" s="23"/>
      <c r="N330" s="24"/>
      <c r="O330" s="23">
        <v>808</v>
      </c>
      <c r="R330">
        <f t="shared" si="5"/>
        <v>1</v>
      </c>
    </row>
    <row r="331" spans="1:18" ht="15.75" thickBot="1">
      <c r="A331" s="35" t="s">
        <v>363</v>
      </c>
      <c r="B331" s="23" t="s">
        <v>643</v>
      </c>
      <c r="C331" s="23">
        <v>5</v>
      </c>
      <c r="D331" s="23">
        <v>2</v>
      </c>
      <c r="E331" s="23">
        <v>3</v>
      </c>
      <c r="F331" s="23">
        <v>1</v>
      </c>
      <c r="G331" s="23">
        <v>11</v>
      </c>
      <c r="H331" s="23" t="s">
        <v>22</v>
      </c>
      <c r="I331" s="23">
        <v>1</v>
      </c>
      <c r="J331" s="23">
        <v>8</v>
      </c>
      <c r="K331" s="23"/>
      <c r="L331" s="23"/>
      <c r="M331" s="23"/>
      <c r="N331" s="24"/>
      <c r="O331" s="23">
        <v>790</v>
      </c>
      <c r="R331">
        <f t="shared" si="5"/>
        <v>1.6</v>
      </c>
    </row>
    <row r="332" spans="1:18" ht="15.75" thickBot="1">
      <c r="A332" s="35" t="s">
        <v>364</v>
      </c>
      <c r="B332" s="23" t="s">
        <v>643</v>
      </c>
      <c r="C332" s="23">
        <v>3</v>
      </c>
      <c r="D332" s="23">
        <v>2</v>
      </c>
      <c r="E332" s="23">
        <v>1</v>
      </c>
      <c r="F332" s="23" t="s">
        <v>22</v>
      </c>
      <c r="G332" s="23">
        <v>1</v>
      </c>
      <c r="H332" s="23" t="s">
        <v>22</v>
      </c>
      <c r="I332" s="23">
        <v>1</v>
      </c>
      <c r="J332" s="23">
        <v>4</v>
      </c>
      <c r="K332" s="23"/>
      <c r="L332" s="23"/>
      <c r="M332" s="23"/>
      <c r="N332" s="24"/>
      <c r="O332" s="23">
        <v>791</v>
      </c>
      <c r="R332">
        <f t="shared" si="5"/>
        <v>1.3333333333333333</v>
      </c>
    </row>
    <row r="333" spans="1:18" ht="15.75" thickBot="1">
      <c r="A333" s="35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4"/>
      <c r="O333" s="23"/>
      <c r="R333" t="e">
        <f t="shared" si="5"/>
        <v>#DIV/0!</v>
      </c>
    </row>
    <row r="334" spans="1:18" ht="15.75" thickBot="1">
      <c r="A334" s="35" t="s">
        <v>365</v>
      </c>
      <c r="B334" s="23" t="s">
        <v>630</v>
      </c>
      <c r="C334" s="23">
        <v>7</v>
      </c>
      <c r="D334" s="23">
        <v>2</v>
      </c>
      <c r="E334" s="23">
        <v>5</v>
      </c>
      <c r="F334" s="23">
        <v>1</v>
      </c>
      <c r="G334" s="23">
        <v>2</v>
      </c>
      <c r="H334" s="23" t="s">
        <v>22</v>
      </c>
      <c r="I334" s="23" t="s">
        <v>22</v>
      </c>
      <c r="J334" s="23" t="s">
        <v>22</v>
      </c>
      <c r="K334" s="23"/>
      <c r="L334" s="23"/>
      <c r="M334" s="23"/>
      <c r="N334" s="24"/>
      <c r="O334" s="23" t="s">
        <v>22</v>
      </c>
      <c r="R334" t="e">
        <f t="shared" si="5"/>
        <v>#VALUE!</v>
      </c>
    </row>
    <row r="335" spans="1:18" ht="15.75" thickBot="1">
      <c r="A335" s="35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4"/>
      <c r="O335" s="23"/>
      <c r="R335" t="e">
        <f t="shared" si="5"/>
        <v>#DIV/0!</v>
      </c>
    </row>
    <row r="336" spans="1:18" ht="15.75" thickBot="1">
      <c r="A336" s="35" t="s">
        <v>366</v>
      </c>
      <c r="B336" s="23" t="s">
        <v>761</v>
      </c>
      <c r="C336" s="23">
        <v>5</v>
      </c>
      <c r="D336" s="23">
        <v>1</v>
      </c>
      <c r="E336" s="23">
        <v>4</v>
      </c>
      <c r="F336" s="23">
        <v>2</v>
      </c>
      <c r="G336" s="23">
        <v>1</v>
      </c>
      <c r="H336" s="23" t="s">
        <v>22</v>
      </c>
      <c r="I336" s="23" t="s">
        <v>22</v>
      </c>
      <c r="J336" s="23">
        <v>6</v>
      </c>
      <c r="K336" s="23"/>
      <c r="L336" s="23"/>
      <c r="M336" s="23"/>
      <c r="N336" s="24"/>
      <c r="O336" s="23">
        <v>438</v>
      </c>
      <c r="R336">
        <f t="shared" si="5"/>
        <v>1.2</v>
      </c>
    </row>
    <row r="337" spans="1:18" ht="15.75" thickBot="1">
      <c r="A337" s="35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4"/>
      <c r="O337" s="23"/>
      <c r="R337" t="e">
        <f t="shared" si="5"/>
        <v>#DIV/0!</v>
      </c>
    </row>
    <row r="338" spans="1:18" ht="15.75" thickBot="1">
      <c r="A338" s="35" t="s">
        <v>367</v>
      </c>
      <c r="B338" s="23" t="s">
        <v>762</v>
      </c>
      <c r="C338" s="23">
        <v>6</v>
      </c>
      <c r="D338" s="23">
        <v>1</v>
      </c>
      <c r="E338" s="23"/>
      <c r="F338" s="23">
        <v>1</v>
      </c>
      <c r="G338" s="23">
        <v>1</v>
      </c>
      <c r="H338" s="23" t="s">
        <v>22</v>
      </c>
      <c r="I338" s="23" t="s">
        <v>22</v>
      </c>
      <c r="J338" s="23">
        <v>3</v>
      </c>
      <c r="K338" s="23"/>
      <c r="L338" s="23"/>
      <c r="M338" s="23"/>
      <c r="N338" s="24"/>
      <c r="O338" s="23">
        <v>727</v>
      </c>
      <c r="R338">
        <f t="shared" si="5"/>
        <v>0.5</v>
      </c>
    </row>
    <row r="339" spans="1:18" ht="15.75" thickBot="1">
      <c r="A339" s="35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4"/>
      <c r="O339" s="23"/>
      <c r="R339" t="e">
        <f t="shared" si="5"/>
        <v>#DIV/0!</v>
      </c>
    </row>
    <row r="340" spans="1:18" ht="15.75" thickBot="1">
      <c r="A340" s="35" t="s">
        <v>368</v>
      </c>
      <c r="B340" s="23" t="s">
        <v>636</v>
      </c>
      <c r="C340" s="23">
        <v>9</v>
      </c>
      <c r="D340" s="23">
        <v>2</v>
      </c>
      <c r="E340" s="23">
        <v>7</v>
      </c>
      <c r="F340" s="23">
        <v>1</v>
      </c>
      <c r="G340" s="23">
        <v>1</v>
      </c>
      <c r="H340" s="23" t="s">
        <v>22</v>
      </c>
      <c r="I340" s="23" t="s">
        <v>22</v>
      </c>
      <c r="J340" s="23">
        <v>6</v>
      </c>
      <c r="K340" s="23"/>
      <c r="L340" s="23"/>
      <c r="M340" s="23"/>
      <c r="N340" s="24"/>
      <c r="O340" s="23">
        <v>306</v>
      </c>
      <c r="R340">
        <f t="shared" si="5"/>
        <v>0.66666666666666663</v>
      </c>
    </row>
    <row r="341" spans="1:18" ht="15.75" thickBot="1">
      <c r="A341" s="35" t="s">
        <v>369</v>
      </c>
      <c r="B341" s="23" t="s">
        <v>636</v>
      </c>
      <c r="C341" s="23">
        <v>8</v>
      </c>
      <c r="D341" s="23">
        <v>3</v>
      </c>
      <c r="E341" s="23">
        <v>5</v>
      </c>
      <c r="F341" s="23" t="s">
        <v>22</v>
      </c>
      <c r="G341" s="23">
        <v>1</v>
      </c>
      <c r="H341" s="23" t="s">
        <v>22</v>
      </c>
      <c r="I341" s="23" t="s">
        <v>22</v>
      </c>
      <c r="J341" s="23" t="s">
        <v>22</v>
      </c>
      <c r="K341" s="23"/>
      <c r="L341" s="23"/>
      <c r="M341" s="23"/>
      <c r="N341" s="24"/>
      <c r="O341" s="23">
        <v>305</v>
      </c>
      <c r="R341" t="e">
        <f t="shared" si="5"/>
        <v>#VALUE!</v>
      </c>
    </row>
    <row r="342" spans="1:18" ht="15.75" thickBot="1">
      <c r="A342" s="35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4"/>
      <c r="O342" s="23"/>
      <c r="R342" t="e">
        <f t="shared" si="5"/>
        <v>#DIV/0!</v>
      </c>
    </row>
    <row r="343" spans="1:18" ht="26.25" thickBot="1">
      <c r="A343" s="35" t="s">
        <v>370</v>
      </c>
      <c r="B343" s="23" t="s">
        <v>643</v>
      </c>
      <c r="C343" s="23">
        <v>4</v>
      </c>
      <c r="D343" s="23">
        <v>2</v>
      </c>
      <c r="E343" s="23">
        <v>2</v>
      </c>
      <c r="F343" s="23">
        <v>1</v>
      </c>
      <c r="G343" s="23">
        <v>1</v>
      </c>
      <c r="H343" s="23" t="s">
        <v>22</v>
      </c>
      <c r="I343" s="23">
        <v>1</v>
      </c>
      <c r="J343" s="23" t="s">
        <v>652</v>
      </c>
      <c r="K343" s="23"/>
      <c r="L343" s="23"/>
      <c r="M343" s="23"/>
      <c r="N343" s="24"/>
      <c r="O343" s="23" t="s">
        <v>763</v>
      </c>
      <c r="R343" t="e">
        <f t="shared" si="5"/>
        <v>#VALUE!</v>
      </c>
    </row>
    <row r="344" spans="1:18" ht="15.75" thickBot="1">
      <c r="A344" s="35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4"/>
      <c r="O344" s="23"/>
      <c r="R344" t="e">
        <f t="shared" si="5"/>
        <v>#DIV/0!</v>
      </c>
    </row>
    <row r="345" spans="1:18" ht="15.75" thickBot="1">
      <c r="A345" s="35" t="s">
        <v>371</v>
      </c>
      <c r="B345" s="23" t="s">
        <v>764</v>
      </c>
      <c r="C345" s="23">
        <v>8</v>
      </c>
      <c r="D345" s="23">
        <v>3</v>
      </c>
      <c r="E345" s="23">
        <v>5</v>
      </c>
      <c r="F345" s="23">
        <v>1</v>
      </c>
      <c r="G345" s="23">
        <v>1</v>
      </c>
      <c r="H345" s="23" t="s">
        <v>22</v>
      </c>
      <c r="I345" s="23" t="s">
        <v>22</v>
      </c>
      <c r="J345" s="23" t="s">
        <v>22</v>
      </c>
      <c r="K345" s="23"/>
      <c r="L345" s="23"/>
      <c r="M345" s="23"/>
      <c r="N345" s="24"/>
      <c r="O345" s="23" t="s">
        <v>22</v>
      </c>
      <c r="R345" t="e">
        <f t="shared" si="5"/>
        <v>#VALUE!</v>
      </c>
    </row>
    <row r="346" spans="1:18" ht="15.75" thickBot="1">
      <c r="A346" s="35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4"/>
      <c r="O346" s="23"/>
      <c r="R346" t="e">
        <f t="shared" si="5"/>
        <v>#DIV/0!</v>
      </c>
    </row>
    <row r="347" spans="1:18" ht="15.75" thickBot="1">
      <c r="A347" s="35" t="s">
        <v>372</v>
      </c>
      <c r="B347" s="23" t="s">
        <v>624</v>
      </c>
      <c r="C347" s="23">
        <v>5</v>
      </c>
      <c r="D347" s="23">
        <v>2</v>
      </c>
      <c r="E347" s="23">
        <v>3</v>
      </c>
      <c r="F347" s="23" t="s">
        <v>22</v>
      </c>
      <c r="G347" s="23">
        <v>1</v>
      </c>
      <c r="H347" s="23" t="s">
        <v>22</v>
      </c>
      <c r="I347" s="23" t="s">
        <v>22</v>
      </c>
      <c r="J347" s="23" t="s">
        <v>22</v>
      </c>
      <c r="K347" s="23"/>
      <c r="L347" s="23"/>
      <c r="M347" s="23"/>
      <c r="N347" s="24"/>
      <c r="O347" s="23" t="s">
        <v>22</v>
      </c>
      <c r="R347" t="e">
        <f t="shared" si="5"/>
        <v>#VALUE!</v>
      </c>
    </row>
    <row r="348" spans="1:18" ht="15.75" thickBot="1">
      <c r="A348" s="35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4"/>
      <c r="O348" s="23"/>
      <c r="R348" t="e">
        <f t="shared" si="5"/>
        <v>#DIV/0!</v>
      </c>
    </row>
    <row r="349" spans="1:18" ht="15.75" thickBot="1">
      <c r="A349" s="35" t="s">
        <v>373</v>
      </c>
      <c r="B349" s="23" t="s">
        <v>630</v>
      </c>
      <c r="C349" s="23">
        <v>6</v>
      </c>
      <c r="D349" s="23">
        <v>2</v>
      </c>
      <c r="E349" s="23">
        <v>4</v>
      </c>
      <c r="F349" s="23">
        <v>1</v>
      </c>
      <c r="G349" s="23">
        <v>1</v>
      </c>
      <c r="H349" s="23" t="s">
        <v>22</v>
      </c>
      <c r="I349" s="23" t="s">
        <v>22</v>
      </c>
      <c r="J349" s="23">
        <v>3</v>
      </c>
      <c r="K349" s="23"/>
      <c r="L349" s="23"/>
      <c r="M349" s="23"/>
      <c r="N349" s="24"/>
      <c r="O349" s="23">
        <v>483</v>
      </c>
      <c r="R349">
        <f t="shared" si="5"/>
        <v>0.5</v>
      </c>
    </row>
    <row r="350" spans="1:18" ht="15.75" thickBot="1">
      <c r="A350" s="35" t="s">
        <v>374</v>
      </c>
      <c r="B350" s="23" t="s">
        <v>630</v>
      </c>
      <c r="C350" s="23">
        <v>3</v>
      </c>
      <c r="D350" s="23">
        <v>1</v>
      </c>
      <c r="E350" s="23">
        <v>2</v>
      </c>
      <c r="F350" s="23">
        <v>1</v>
      </c>
      <c r="G350" s="23">
        <v>1</v>
      </c>
      <c r="H350" s="23" t="s">
        <v>22</v>
      </c>
      <c r="I350" s="23" t="s">
        <v>22</v>
      </c>
      <c r="J350" s="23">
        <v>6</v>
      </c>
      <c r="K350" s="23"/>
      <c r="L350" s="23"/>
      <c r="M350" s="23"/>
      <c r="N350" s="24"/>
      <c r="O350" s="23">
        <v>476</v>
      </c>
      <c r="R350">
        <f t="shared" si="5"/>
        <v>2</v>
      </c>
    </row>
    <row r="351" spans="1:18" ht="15.75" thickBot="1">
      <c r="A351" s="35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4"/>
      <c r="O351" s="23"/>
      <c r="R351" t="e">
        <f t="shared" si="5"/>
        <v>#DIV/0!</v>
      </c>
    </row>
    <row r="352" spans="1:18" ht="15.75" thickBot="1">
      <c r="A352" s="35" t="s">
        <v>375</v>
      </c>
      <c r="B352" s="23" t="s">
        <v>630</v>
      </c>
      <c r="C352" s="23">
        <v>5</v>
      </c>
      <c r="D352" s="23">
        <v>3</v>
      </c>
      <c r="E352" s="23">
        <v>2</v>
      </c>
      <c r="F352" s="23">
        <v>1</v>
      </c>
      <c r="G352" s="23">
        <v>1</v>
      </c>
      <c r="H352" s="23" t="s">
        <v>22</v>
      </c>
      <c r="I352" s="23" t="s">
        <v>22</v>
      </c>
      <c r="J352" s="23">
        <v>10</v>
      </c>
      <c r="K352" s="23"/>
      <c r="L352" s="23"/>
      <c r="M352" s="23"/>
      <c r="N352" s="24"/>
      <c r="O352" s="23" t="s">
        <v>22</v>
      </c>
      <c r="R352">
        <f t="shared" si="5"/>
        <v>2</v>
      </c>
    </row>
    <row r="353" spans="1:18" ht="15.75" thickBot="1">
      <c r="A353" s="35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4"/>
      <c r="O353" s="23"/>
      <c r="R353" t="e">
        <f t="shared" si="5"/>
        <v>#DIV/0!</v>
      </c>
    </row>
    <row r="354" spans="1:18" ht="15.75" thickBot="1">
      <c r="A354" s="35" t="s">
        <v>376</v>
      </c>
      <c r="B354" s="23" t="s">
        <v>710</v>
      </c>
      <c r="C354" s="23">
        <v>2</v>
      </c>
      <c r="D354" s="23">
        <v>2</v>
      </c>
      <c r="E354" s="23" t="s">
        <v>22</v>
      </c>
      <c r="F354" s="23">
        <v>2</v>
      </c>
      <c r="G354" s="23">
        <v>1</v>
      </c>
      <c r="H354" s="23" t="s">
        <v>22</v>
      </c>
      <c r="I354" s="23" t="s">
        <v>22</v>
      </c>
      <c r="J354" s="23">
        <v>4</v>
      </c>
      <c r="K354" s="23"/>
      <c r="L354" s="23"/>
      <c r="M354" s="23"/>
      <c r="N354" s="24"/>
      <c r="O354" s="23">
        <v>862</v>
      </c>
      <c r="R354">
        <f t="shared" si="5"/>
        <v>2</v>
      </c>
    </row>
    <row r="355" spans="1:18" ht="15.75" thickBot="1">
      <c r="A355" s="35" t="s">
        <v>377</v>
      </c>
      <c r="B355" s="23" t="s">
        <v>765</v>
      </c>
      <c r="C355" s="23">
        <v>8</v>
      </c>
      <c r="D355" s="23">
        <v>1</v>
      </c>
      <c r="E355" s="23">
        <v>7</v>
      </c>
      <c r="F355" s="23" t="s">
        <v>22</v>
      </c>
      <c r="G355" s="23">
        <v>1</v>
      </c>
      <c r="H355" s="23" t="s">
        <v>22</v>
      </c>
      <c r="I355" s="23" t="s">
        <v>22</v>
      </c>
      <c r="J355" s="23">
        <v>9</v>
      </c>
      <c r="K355" s="23"/>
      <c r="L355" s="23"/>
      <c r="M355" s="23"/>
      <c r="N355" s="24"/>
      <c r="O355" s="23" t="s">
        <v>22</v>
      </c>
      <c r="R355">
        <f t="shared" si="5"/>
        <v>1.125</v>
      </c>
    </row>
    <row r="356" spans="1:18" ht="15.75" thickBot="1">
      <c r="A356" s="35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4"/>
      <c r="O356" s="23"/>
      <c r="R356" t="e">
        <f t="shared" si="5"/>
        <v>#DIV/0!</v>
      </c>
    </row>
    <row r="357" spans="1:18" ht="15.75" thickBot="1">
      <c r="A357" s="35" t="s">
        <v>378</v>
      </c>
      <c r="B357" s="23" t="s">
        <v>766</v>
      </c>
      <c r="C357" s="23">
        <v>7</v>
      </c>
      <c r="D357" s="23">
        <v>2</v>
      </c>
      <c r="E357" s="23">
        <v>5</v>
      </c>
      <c r="F357" s="23" t="s">
        <v>22</v>
      </c>
      <c r="G357" s="23" t="s">
        <v>22</v>
      </c>
      <c r="H357" s="23" t="s">
        <v>22</v>
      </c>
      <c r="I357" s="23" t="s">
        <v>22</v>
      </c>
      <c r="J357" s="23" t="s">
        <v>22</v>
      </c>
      <c r="K357" s="23"/>
      <c r="L357" s="23"/>
      <c r="M357" s="23"/>
      <c r="N357" s="24"/>
      <c r="O357" s="23" t="s">
        <v>22</v>
      </c>
      <c r="R357" t="e">
        <f t="shared" si="5"/>
        <v>#VALUE!</v>
      </c>
    </row>
    <row r="358" spans="1:18" ht="15.75" thickBot="1">
      <c r="A358" s="35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4"/>
      <c r="O358" s="23"/>
      <c r="R358" t="e">
        <f t="shared" si="5"/>
        <v>#DIV/0!</v>
      </c>
    </row>
    <row r="359" spans="1:18" ht="15.75" thickBot="1">
      <c r="A359" s="35" t="s">
        <v>379</v>
      </c>
      <c r="B359" s="23" t="s">
        <v>629</v>
      </c>
      <c r="C359" s="23">
        <v>3</v>
      </c>
      <c r="D359" s="23">
        <v>2</v>
      </c>
      <c r="E359" s="23">
        <v>1</v>
      </c>
      <c r="F359" s="23">
        <v>1</v>
      </c>
      <c r="G359" s="23">
        <v>1</v>
      </c>
      <c r="H359" s="23" t="s">
        <v>22</v>
      </c>
      <c r="I359" s="23" t="s">
        <v>22</v>
      </c>
      <c r="J359" s="23">
        <v>5</v>
      </c>
      <c r="K359" s="23"/>
      <c r="L359" s="23"/>
      <c r="M359" s="23"/>
      <c r="N359" s="24"/>
      <c r="O359" s="23">
        <v>895</v>
      </c>
      <c r="R359">
        <f t="shared" si="5"/>
        <v>1.6666666666666667</v>
      </c>
    </row>
    <row r="360" spans="1:18" ht="15.75" thickBot="1">
      <c r="A360" s="35" t="s">
        <v>380</v>
      </c>
      <c r="B360" s="23" t="s">
        <v>767</v>
      </c>
      <c r="C360" s="23">
        <v>7</v>
      </c>
      <c r="D360" s="23">
        <v>2</v>
      </c>
      <c r="E360" s="23">
        <v>5</v>
      </c>
      <c r="F360" s="23">
        <v>2</v>
      </c>
      <c r="G360" s="23">
        <v>1</v>
      </c>
      <c r="H360" s="23" t="s">
        <v>22</v>
      </c>
      <c r="I360" s="23" t="s">
        <v>22</v>
      </c>
      <c r="J360" s="23">
        <v>12</v>
      </c>
      <c r="K360" s="23"/>
      <c r="L360" s="23"/>
      <c r="M360" s="23"/>
      <c r="N360" s="24"/>
      <c r="O360" s="23">
        <v>795</v>
      </c>
      <c r="R360">
        <f t="shared" si="5"/>
        <v>1.7142857142857142</v>
      </c>
    </row>
    <row r="361" spans="1:18" ht="15.75" thickBot="1">
      <c r="A361" s="35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4"/>
      <c r="O361" s="23"/>
      <c r="R361" t="e">
        <f t="shared" si="5"/>
        <v>#DIV/0!</v>
      </c>
    </row>
    <row r="362" spans="1:18" ht="15.75" thickBot="1">
      <c r="A362" s="35" t="s">
        <v>381</v>
      </c>
      <c r="B362" s="23" t="s">
        <v>768</v>
      </c>
      <c r="C362" s="23">
        <v>6</v>
      </c>
      <c r="D362" s="23">
        <v>2</v>
      </c>
      <c r="E362" s="23">
        <v>4</v>
      </c>
      <c r="F362" s="23" t="s">
        <v>22</v>
      </c>
      <c r="G362" s="23" t="s">
        <v>22</v>
      </c>
      <c r="H362" s="23" t="s">
        <v>22</v>
      </c>
      <c r="I362" s="23" t="s">
        <v>22</v>
      </c>
      <c r="J362" s="23">
        <v>4</v>
      </c>
      <c r="K362" s="23"/>
      <c r="L362" s="23"/>
      <c r="M362" s="23"/>
      <c r="N362" s="24"/>
      <c r="O362" s="23" t="s">
        <v>22</v>
      </c>
      <c r="R362">
        <f t="shared" si="5"/>
        <v>0.66666666666666663</v>
      </c>
    </row>
    <row r="363" spans="1:18" ht="15.75" thickBot="1">
      <c r="A363" s="35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4"/>
      <c r="O363" s="23"/>
      <c r="R363" t="e">
        <f t="shared" si="5"/>
        <v>#DIV/0!</v>
      </c>
    </row>
    <row r="364" spans="1:18" ht="15.75" thickBot="1">
      <c r="A364" s="35" t="s">
        <v>382</v>
      </c>
      <c r="B364" s="23" t="s">
        <v>769</v>
      </c>
      <c r="C364" s="23">
        <v>3</v>
      </c>
      <c r="D364" s="23">
        <v>1</v>
      </c>
      <c r="E364" s="23">
        <v>2</v>
      </c>
      <c r="F364" s="23" t="s">
        <v>22</v>
      </c>
      <c r="G364" s="23" t="s">
        <v>22</v>
      </c>
      <c r="H364" s="23" t="s">
        <v>22</v>
      </c>
      <c r="I364" s="23" t="s">
        <v>22</v>
      </c>
      <c r="J364" s="23" t="s">
        <v>22</v>
      </c>
      <c r="K364" s="23"/>
      <c r="L364" s="23"/>
      <c r="M364" s="23"/>
      <c r="N364" s="24"/>
      <c r="O364" s="23" t="s">
        <v>22</v>
      </c>
      <c r="R364" t="e">
        <f t="shared" si="5"/>
        <v>#VALUE!</v>
      </c>
    </row>
    <row r="365" spans="1:18" ht="15.75" thickBot="1">
      <c r="A365" s="35" t="s">
        <v>383</v>
      </c>
      <c r="B365" s="23" t="s">
        <v>643</v>
      </c>
      <c r="C365" s="23">
        <v>3</v>
      </c>
      <c r="D365" s="23">
        <v>2</v>
      </c>
      <c r="E365" s="23">
        <v>1</v>
      </c>
      <c r="F365" s="23">
        <v>1</v>
      </c>
      <c r="G365" s="23">
        <v>1</v>
      </c>
      <c r="H365" s="23" t="s">
        <v>22</v>
      </c>
      <c r="I365" s="23" t="s">
        <v>22</v>
      </c>
      <c r="J365" s="23" t="s">
        <v>639</v>
      </c>
      <c r="K365" s="23"/>
      <c r="L365" s="23"/>
      <c r="M365" s="23"/>
      <c r="N365" s="24"/>
      <c r="O365" s="23">
        <v>781</v>
      </c>
      <c r="R365" t="e">
        <f t="shared" si="5"/>
        <v>#VALUE!</v>
      </c>
    </row>
    <row r="366" spans="1:18" ht="15.75" thickBot="1">
      <c r="A366" s="35" t="s">
        <v>384</v>
      </c>
      <c r="B366" s="23" t="s">
        <v>770</v>
      </c>
      <c r="C366" s="23">
        <v>4</v>
      </c>
      <c r="D366" s="23">
        <v>2</v>
      </c>
      <c r="E366" s="23">
        <v>2</v>
      </c>
      <c r="F366" s="23" t="s">
        <v>22</v>
      </c>
      <c r="G366" s="23">
        <v>1</v>
      </c>
      <c r="H366" s="23" t="s">
        <v>22</v>
      </c>
      <c r="I366" s="23" t="s">
        <v>22</v>
      </c>
      <c r="J366" s="23">
        <v>8</v>
      </c>
      <c r="K366" s="23"/>
      <c r="L366" s="23"/>
      <c r="M366" s="23"/>
      <c r="N366" s="24"/>
      <c r="O366" s="23">
        <v>763</v>
      </c>
      <c r="R366">
        <f t="shared" si="5"/>
        <v>2</v>
      </c>
    </row>
    <row r="367" spans="1:18" ht="15.75" thickBot="1">
      <c r="A367" s="35" t="s">
        <v>385</v>
      </c>
      <c r="B367" s="23" t="s">
        <v>643</v>
      </c>
      <c r="C367" s="23">
        <v>2</v>
      </c>
      <c r="D367" s="23">
        <v>2</v>
      </c>
      <c r="E367" s="23" t="s">
        <v>22</v>
      </c>
      <c r="F367" s="23">
        <v>1</v>
      </c>
      <c r="G367" s="23">
        <v>1</v>
      </c>
      <c r="H367" s="23" t="s">
        <v>22</v>
      </c>
      <c r="I367" s="23" t="s">
        <v>22</v>
      </c>
      <c r="J367" s="23">
        <v>4</v>
      </c>
      <c r="K367" s="23"/>
      <c r="L367" s="23"/>
      <c r="M367" s="23"/>
      <c r="N367" s="24"/>
      <c r="O367" s="23">
        <v>774</v>
      </c>
      <c r="R367">
        <f t="shared" si="5"/>
        <v>2</v>
      </c>
    </row>
    <row r="368" spans="1:18" ht="15.75" thickBot="1">
      <c r="A368" s="35" t="s">
        <v>386</v>
      </c>
      <c r="B368" s="23" t="s">
        <v>771</v>
      </c>
      <c r="C368" s="23">
        <v>6</v>
      </c>
      <c r="D368" s="23" t="s">
        <v>652</v>
      </c>
      <c r="E368" s="23"/>
      <c r="F368" s="23">
        <v>2</v>
      </c>
      <c r="G368" s="23">
        <v>1</v>
      </c>
      <c r="H368" s="23" t="s">
        <v>22</v>
      </c>
      <c r="I368" s="23" t="s">
        <v>22</v>
      </c>
      <c r="J368" s="23">
        <v>9</v>
      </c>
      <c r="K368" s="23"/>
      <c r="L368" s="23"/>
      <c r="M368" s="23"/>
      <c r="N368" s="24"/>
      <c r="O368" s="23">
        <v>729</v>
      </c>
      <c r="R368">
        <f t="shared" si="5"/>
        <v>1.5</v>
      </c>
    </row>
    <row r="369" spans="1:18" ht="15.75" thickBot="1">
      <c r="A369" s="35" t="s">
        <v>387</v>
      </c>
      <c r="B369" s="23" t="s">
        <v>670</v>
      </c>
      <c r="C369" s="23">
        <v>5</v>
      </c>
      <c r="D369" s="23">
        <v>2</v>
      </c>
      <c r="E369" s="23">
        <v>3</v>
      </c>
      <c r="F369" s="23">
        <v>1</v>
      </c>
      <c r="G369" s="23">
        <v>2</v>
      </c>
      <c r="H369" s="23" t="s">
        <v>22</v>
      </c>
      <c r="I369" s="23" t="s">
        <v>22</v>
      </c>
      <c r="J369" s="23">
        <v>10</v>
      </c>
      <c r="K369" s="23"/>
      <c r="L369" s="23"/>
      <c r="M369" s="23"/>
      <c r="N369" s="24"/>
      <c r="O369" s="23">
        <v>822</v>
      </c>
      <c r="R369">
        <f t="shared" si="5"/>
        <v>2</v>
      </c>
    </row>
    <row r="370" spans="1:18" ht="15.75" thickBot="1">
      <c r="A370" s="35" t="s">
        <v>388</v>
      </c>
      <c r="B370" s="23" t="s">
        <v>772</v>
      </c>
      <c r="C370" s="23">
        <v>4</v>
      </c>
      <c r="D370" s="23">
        <v>2</v>
      </c>
      <c r="E370" s="23">
        <v>2</v>
      </c>
      <c r="F370" s="23" t="s">
        <v>22</v>
      </c>
      <c r="G370" s="23" t="s">
        <v>22</v>
      </c>
      <c r="H370" s="23" t="s">
        <v>22</v>
      </c>
      <c r="I370" s="23" t="s">
        <v>22</v>
      </c>
      <c r="J370" s="23" t="s">
        <v>22</v>
      </c>
      <c r="K370" s="23"/>
      <c r="L370" s="23"/>
      <c r="M370" s="23"/>
      <c r="N370" s="24"/>
      <c r="O370" s="23" t="s">
        <v>22</v>
      </c>
      <c r="R370" t="e">
        <f t="shared" si="5"/>
        <v>#VALUE!</v>
      </c>
    </row>
    <row r="371" spans="1:18" ht="15.75" thickBot="1">
      <c r="A371" s="35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4"/>
      <c r="O371" s="23"/>
      <c r="R371" t="e">
        <f t="shared" si="5"/>
        <v>#DIV/0!</v>
      </c>
    </row>
    <row r="372" spans="1:18" ht="15.75" thickBot="1">
      <c r="A372" s="35" t="s">
        <v>389</v>
      </c>
      <c r="B372" s="23" t="s">
        <v>629</v>
      </c>
      <c r="C372" s="23">
        <v>5</v>
      </c>
      <c r="D372" s="23">
        <v>2</v>
      </c>
      <c r="E372" s="23">
        <v>3</v>
      </c>
      <c r="F372" s="23">
        <v>1</v>
      </c>
      <c r="G372" s="23">
        <v>1</v>
      </c>
      <c r="H372" s="23" t="s">
        <v>22</v>
      </c>
      <c r="I372" s="23">
        <v>1</v>
      </c>
      <c r="J372" s="23">
        <v>8</v>
      </c>
      <c r="K372" s="23"/>
      <c r="L372" s="23"/>
      <c r="M372" s="23"/>
      <c r="N372" s="24"/>
      <c r="O372" s="23">
        <v>879</v>
      </c>
      <c r="R372">
        <f t="shared" si="5"/>
        <v>1.6</v>
      </c>
    </row>
    <row r="373" spans="1:18" ht="15.75" thickBot="1">
      <c r="A373" s="35" t="s">
        <v>390</v>
      </c>
      <c r="B373" s="23" t="s">
        <v>773</v>
      </c>
      <c r="C373" s="23">
        <v>11</v>
      </c>
      <c r="D373" s="23">
        <v>1</v>
      </c>
      <c r="E373" s="23">
        <v>10</v>
      </c>
      <c r="F373" s="23">
        <v>1</v>
      </c>
      <c r="G373" s="23">
        <v>2</v>
      </c>
      <c r="H373" s="23" t="s">
        <v>22</v>
      </c>
      <c r="I373" s="23" t="s">
        <v>22</v>
      </c>
      <c r="J373" s="23">
        <v>15</v>
      </c>
      <c r="K373" s="23"/>
      <c r="L373" s="23"/>
      <c r="M373" s="23"/>
      <c r="N373" s="24"/>
      <c r="O373" s="23">
        <v>74</v>
      </c>
      <c r="R373">
        <f t="shared" si="5"/>
        <v>1.3636363636363635</v>
      </c>
    </row>
    <row r="374" spans="1:18" ht="15.75" thickBot="1">
      <c r="A374" s="35" t="s">
        <v>391</v>
      </c>
      <c r="B374" s="23" t="s">
        <v>629</v>
      </c>
      <c r="C374" s="23">
        <v>9</v>
      </c>
      <c r="D374" s="23">
        <v>3</v>
      </c>
      <c r="E374" s="23">
        <v>6</v>
      </c>
      <c r="F374" s="23">
        <v>1</v>
      </c>
      <c r="G374" s="23">
        <v>2</v>
      </c>
      <c r="H374" s="23" t="s">
        <v>22</v>
      </c>
      <c r="I374" s="23" t="s">
        <v>22</v>
      </c>
      <c r="J374" s="23">
        <v>9</v>
      </c>
      <c r="K374" s="23"/>
      <c r="L374" s="23"/>
      <c r="M374" s="23"/>
      <c r="N374" s="24"/>
      <c r="O374" s="23">
        <v>880</v>
      </c>
      <c r="R374">
        <f t="shared" si="5"/>
        <v>1</v>
      </c>
    </row>
    <row r="375" spans="1:18" ht="15.75" thickBot="1">
      <c r="A375" s="35" t="s">
        <v>392</v>
      </c>
      <c r="B375" s="23" t="s">
        <v>774</v>
      </c>
      <c r="C375" s="23">
        <v>6</v>
      </c>
      <c r="D375" s="23">
        <v>1</v>
      </c>
      <c r="E375" s="23">
        <v>5</v>
      </c>
      <c r="F375" s="23">
        <v>1</v>
      </c>
      <c r="G375" s="23">
        <v>1</v>
      </c>
      <c r="H375" s="23" t="s">
        <v>22</v>
      </c>
      <c r="I375" s="23" t="s">
        <v>22</v>
      </c>
      <c r="J375" s="23">
        <v>5</v>
      </c>
      <c r="K375" s="23"/>
      <c r="L375" s="23"/>
      <c r="M375" s="23"/>
      <c r="N375" s="24"/>
      <c r="O375" s="23">
        <v>641</v>
      </c>
      <c r="R375">
        <f t="shared" si="5"/>
        <v>0.83333333333333337</v>
      </c>
    </row>
    <row r="376" spans="1:18" ht="15.75" thickBot="1">
      <c r="A376" s="35" t="s">
        <v>393</v>
      </c>
      <c r="B376" s="23" t="s">
        <v>775</v>
      </c>
      <c r="C376" s="23">
        <v>6</v>
      </c>
      <c r="D376" s="23">
        <v>2</v>
      </c>
      <c r="E376" s="23">
        <v>4</v>
      </c>
      <c r="F376" s="23">
        <v>2</v>
      </c>
      <c r="G376" s="23">
        <v>1</v>
      </c>
      <c r="H376" s="23" t="s">
        <v>22</v>
      </c>
      <c r="I376" s="23" t="s">
        <v>22</v>
      </c>
      <c r="J376" s="23">
        <v>11</v>
      </c>
      <c r="K376" s="23"/>
      <c r="L376" s="23"/>
      <c r="M376" s="23"/>
      <c r="N376" s="24"/>
      <c r="O376" s="23" t="s">
        <v>22</v>
      </c>
      <c r="R376">
        <f t="shared" si="5"/>
        <v>1.8333333333333333</v>
      </c>
    </row>
    <row r="377" spans="1:18" ht="15.75" thickBot="1">
      <c r="A377" s="35" t="s">
        <v>394</v>
      </c>
      <c r="B377" s="23" t="s">
        <v>776</v>
      </c>
      <c r="C377" s="23">
        <v>4</v>
      </c>
      <c r="D377" s="23">
        <v>1</v>
      </c>
      <c r="E377" s="23">
        <v>3</v>
      </c>
      <c r="F377" s="23">
        <v>1</v>
      </c>
      <c r="G377" s="23">
        <v>1</v>
      </c>
      <c r="H377" s="23" t="s">
        <v>22</v>
      </c>
      <c r="I377" s="23" t="s">
        <v>22</v>
      </c>
      <c r="J377" s="23">
        <v>5</v>
      </c>
      <c r="K377" s="23"/>
      <c r="L377" s="23"/>
      <c r="M377" s="23"/>
      <c r="N377" s="24"/>
      <c r="O377" s="23">
        <v>111</v>
      </c>
      <c r="R377">
        <f t="shared" si="5"/>
        <v>1.25</v>
      </c>
    </row>
    <row r="378" spans="1:18" ht="15.75" thickBot="1">
      <c r="A378" s="35" t="s">
        <v>395</v>
      </c>
      <c r="B378" s="23" t="s">
        <v>644</v>
      </c>
      <c r="C378" s="23">
        <v>4</v>
      </c>
      <c r="D378" s="23">
        <v>2</v>
      </c>
      <c r="E378" s="23">
        <v>2</v>
      </c>
      <c r="F378" s="23">
        <v>3</v>
      </c>
      <c r="G378" s="23">
        <v>1</v>
      </c>
      <c r="H378" s="23" t="s">
        <v>22</v>
      </c>
      <c r="I378" s="23">
        <v>1</v>
      </c>
      <c r="J378" s="23">
        <v>9</v>
      </c>
      <c r="K378" s="23"/>
      <c r="L378" s="23"/>
      <c r="M378" s="23"/>
      <c r="N378" s="24"/>
      <c r="O378" s="23" t="s">
        <v>22</v>
      </c>
      <c r="R378">
        <f t="shared" si="5"/>
        <v>2.25</v>
      </c>
    </row>
    <row r="379" spans="1:18" ht="26.25" thickBot="1">
      <c r="A379" s="35" t="s">
        <v>396</v>
      </c>
      <c r="B379" s="23" t="s">
        <v>624</v>
      </c>
      <c r="C379" s="23">
        <v>4</v>
      </c>
      <c r="D379" s="23">
        <v>2</v>
      </c>
      <c r="E379" s="23">
        <v>2</v>
      </c>
      <c r="F379" s="23">
        <v>1</v>
      </c>
      <c r="G379" s="23" t="s">
        <v>22</v>
      </c>
      <c r="H379" s="23" t="s">
        <v>22</v>
      </c>
      <c r="I379" s="23" t="s">
        <v>22</v>
      </c>
      <c r="J379" s="23" t="s">
        <v>648</v>
      </c>
      <c r="K379" s="23"/>
      <c r="L379" s="23"/>
      <c r="M379" s="23"/>
      <c r="N379" s="24"/>
      <c r="O379" s="23" t="s">
        <v>777</v>
      </c>
      <c r="R379" t="e">
        <f t="shared" si="5"/>
        <v>#VALUE!</v>
      </c>
    </row>
    <row r="380" spans="1:18" ht="15.75" thickBot="1">
      <c r="A380" s="35" t="s">
        <v>397</v>
      </c>
      <c r="B380" s="23" t="s">
        <v>629</v>
      </c>
      <c r="C380" s="23">
        <v>4</v>
      </c>
      <c r="D380" s="23">
        <v>2</v>
      </c>
      <c r="E380" s="23">
        <v>2</v>
      </c>
      <c r="F380" s="23" t="s">
        <v>22</v>
      </c>
      <c r="G380" s="23">
        <v>1</v>
      </c>
      <c r="H380" s="23" t="s">
        <v>22</v>
      </c>
      <c r="I380" s="23" t="s">
        <v>22</v>
      </c>
      <c r="J380" s="23">
        <v>6</v>
      </c>
      <c r="K380" s="23"/>
      <c r="L380" s="23"/>
      <c r="M380" s="23"/>
      <c r="N380" s="24"/>
      <c r="O380" s="23">
        <v>877</v>
      </c>
      <c r="R380">
        <f t="shared" si="5"/>
        <v>1.5</v>
      </c>
    </row>
    <row r="381" spans="1:18" ht="15.75" thickBot="1">
      <c r="A381" s="35" t="s">
        <v>398</v>
      </c>
      <c r="B381" s="23" t="s">
        <v>624</v>
      </c>
      <c r="C381" s="23">
        <v>3</v>
      </c>
      <c r="D381" s="23">
        <v>2</v>
      </c>
      <c r="E381" s="23">
        <v>1</v>
      </c>
      <c r="F381" s="23">
        <v>2</v>
      </c>
      <c r="G381" s="23">
        <v>1</v>
      </c>
      <c r="H381" s="23" t="s">
        <v>22</v>
      </c>
      <c r="I381" s="23" t="s">
        <v>22</v>
      </c>
      <c r="J381" s="23">
        <v>6</v>
      </c>
      <c r="K381" s="23"/>
      <c r="L381" s="23"/>
      <c r="M381" s="23"/>
      <c r="N381" s="24"/>
      <c r="O381" s="23">
        <v>588</v>
      </c>
      <c r="R381">
        <f t="shared" si="5"/>
        <v>2</v>
      </c>
    </row>
    <row r="382" spans="1:18" ht="15.75" thickBot="1">
      <c r="A382" s="35" t="s">
        <v>399</v>
      </c>
      <c r="B382" s="23" t="s">
        <v>624</v>
      </c>
      <c r="C382" s="23">
        <v>6</v>
      </c>
      <c r="D382" s="23">
        <v>2</v>
      </c>
      <c r="E382" s="23">
        <v>4</v>
      </c>
      <c r="F382" s="23">
        <v>2</v>
      </c>
      <c r="G382" s="23">
        <v>1</v>
      </c>
      <c r="H382" s="23" t="s">
        <v>22</v>
      </c>
      <c r="I382" s="23">
        <v>1</v>
      </c>
      <c r="J382" s="23">
        <v>12</v>
      </c>
      <c r="K382" s="23"/>
      <c r="L382" s="23"/>
      <c r="M382" s="23"/>
      <c r="N382" s="24"/>
      <c r="O382" s="23">
        <v>591</v>
      </c>
      <c r="R382">
        <f t="shared" si="5"/>
        <v>2</v>
      </c>
    </row>
    <row r="383" spans="1:18" ht="15.75" thickBot="1">
      <c r="A383" s="35" t="s">
        <v>400</v>
      </c>
      <c r="B383" s="23" t="s">
        <v>634</v>
      </c>
      <c r="C383" s="23">
        <v>4</v>
      </c>
      <c r="D383" s="23">
        <v>2</v>
      </c>
      <c r="E383" s="23">
        <v>2</v>
      </c>
      <c r="F383" s="23" t="s">
        <v>22</v>
      </c>
      <c r="G383" s="23">
        <v>1</v>
      </c>
      <c r="H383" s="23" t="s">
        <v>22</v>
      </c>
      <c r="I383" s="23" t="s">
        <v>22</v>
      </c>
      <c r="J383" s="23">
        <v>4</v>
      </c>
      <c r="K383" s="23"/>
      <c r="L383" s="23"/>
      <c r="M383" s="23"/>
      <c r="N383" s="24"/>
      <c r="O383" s="23" t="s">
        <v>22</v>
      </c>
      <c r="R383">
        <f t="shared" si="5"/>
        <v>1</v>
      </c>
    </row>
    <row r="384" spans="1:18" ht="15.75" thickBot="1">
      <c r="A384" s="35" t="s">
        <v>401</v>
      </c>
      <c r="B384" s="23" t="s">
        <v>629</v>
      </c>
      <c r="C384" s="23">
        <v>6</v>
      </c>
      <c r="D384" s="23">
        <v>2</v>
      </c>
      <c r="E384" s="23">
        <v>4</v>
      </c>
      <c r="F384" s="23">
        <v>1</v>
      </c>
      <c r="G384" s="23">
        <v>1</v>
      </c>
      <c r="H384" s="23" t="s">
        <v>22</v>
      </c>
      <c r="I384" s="23" t="s">
        <v>22</v>
      </c>
      <c r="J384" s="23">
        <v>5</v>
      </c>
      <c r="K384" s="23"/>
      <c r="L384" s="23"/>
      <c r="M384" s="23"/>
      <c r="N384" s="24"/>
      <c r="O384" s="23">
        <v>889</v>
      </c>
      <c r="R384">
        <f t="shared" si="5"/>
        <v>0.83333333333333337</v>
      </c>
    </row>
    <row r="385" spans="1:18" ht="15.75" thickBot="1">
      <c r="A385" s="35" t="s">
        <v>402</v>
      </c>
      <c r="B385" s="23" t="s">
        <v>629</v>
      </c>
      <c r="C385" s="23">
        <v>6</v>
      </c>
      <c r="D385" s="23">
        <v>3</v>
      </c>
      <c r="E385" s="23">
        <v>3</v>
      </c>
      <c r="F385" s="23">
        <v>1</v>
      </c>
      <c r="G385" s="23">
        <v>1</v>
      </c>
      <c r="H385" s="23" t="s">
        <v>22</v>
      </c>
      <c r="I385" s="23" t="s">
        <v>22</v>
      </c>
      <c r="J385" s="23">
        <v>4</v>
      </c>
      <c r="K385" s="23"/>
      <c r="L385" s="23"/>
      <c r="M385" s="23"/>
      <c r="N385" s="24"/>
      <c r="O385" s="23" t="s">
        <v>22</v>
      </c>
      <c r="R385">
        <f t="shared" si="5"/>
        <v>0.66666666666666663</v>
      </c>
    </row>
    <row r="386" spans="1:18" ht="15.75" thickBot="1">
      <c r="A386" s="35" t="s">
        <v>403</v>
      </c>
      <c r="B386" s="23" t="s">
        <v>778</v>
      </c>
      <c r="C386" s="23">
        <v>4</v>
      </c>
      <c r="D386" s="23">
        <v>3</v>
      </c>
      <c r="E386" s="23">
        <v>1</v>
      </c>
      <c r="F386" s="23">
        <v>1</v>
      </c>
      <c r="G386" s="23">
        <v>1</v>
      </c>
      <c r="H386" s="23" t="s">
        <v>22</v>
      </c>
      <c r="I386" s="23" t="s">
        <v>22</v>
      </c>
      <c r="J386" s="23">
        <v>8</v>
      </c>
      <c r="K386" s="23"/>
      <c r="L386" s="23"/>
      <c r="M386" s="23"/>
      <c r="N386" s="24"/>
      <c r="O386" s="23" t="s">
        <v>22</v>
      </c>
      <c r="R386">
        <f t="shared" ref="R386:R449" si="6">J386/C386</f>
        <v>2</v>
      </c>
    </row>
    <row r="387" spans="1:18" ht="15.75" thickBot="1">
      <c r="A387" s="35" t="s">
        <v>404</v>
      </c>
      <c r="B387" s="23" t="s">
        <v>629</v>
      </c>
      <c r="C387" s="23">
        <v>4</v>
      </c>
      <c r="D387" s="23">
        <v>1</v>
      </c>
      <c r="E387" s="23">
        <v>3</v>
      </c>
      <c r="F387" s="23">
        <v>2</v>
      </c>
      <c r="G387" s="23">
        <v>1</v>
      </c>
      <c r="H387" s="23" t="s">
        <v>22</v>
      </c>
      <c r="I387" s="23">
        <v>1</v>
      </c>
      <c r="J387" s="23">
        <v>9</v>
      </c>
      <c r="K387" s="23"/>
      <c r="L387" s="23"/>
      <c r="M387" s="23"/>
      <c r="N387" s="24"/>
      <c r="O387" s="23">
        <v>893</v>
      </c>
      <c r="R387">
        <f t="shared" si="6"/>
        <v>2.25</v>
      </c>
    </row>
    <row r="388" spans="1:18" ht="15.75" thickBot="1">
      <c r="A388" s="35" t="s">
        <v>405</v>
      </c>
      <c r="B388" s="23" t="s">
        <v>641</v>
      </c>
      <c r="C388" s="23">
        <v>6</v>
      </c>
      <c r="D388" s="23">
        <v>2</v>
      </c>
      <c r="E388" s="23">
        <v>4</v>
      </c>
      <c r="F388" s="23">
        <v>1</v>
      </c>
      <c r="G388" s="23">
        <v>1</v>
      </c>
      <c r="H388" s="23" t="s">
        <v>22</v>
      </c>
      <c r="I388" s="23" t="s">
        <v>22</v>
      </c>
      <c r="J388" s="23">
        <v>8</v>
      </c>
      <c r="K388" s="23"/>
      <c r="L388" s="23"/>
      <c r="M388" s="23"/>
      <c r="N388" s="24"/>
      <c r="O388" s="23">
        <v>153</v>
      </c>
      <c r="R388">
        <f t="shared" si="6"/>
        <v>1.3333333333333333</v>
      </c>
    </row>
    <row r="389" spans="1:18" ht="15.75" thickBot="1">
      <c r="A389" s="35" t="s">
        <v>406</v>
      </c>
      <c r="B389" s="23" t="s">
        <v>624</v>
      </c>
      <c r="C389" s="23">
        <v>6</v>
      </c>
      <c r="D389" s="23">
        <v>1</v>
      </c>
      <c r="E389" s="23">
        <v>5</v>
      </c>
      <c r="F389" s="23">
        <v>1</v>
      </c>
      <c r="G389" s="23">
        <v>1</v>
      </c>
      <c r="H389" s="23" t="s">
        <v>22</v>
      </c>
      <c r="I389" s="23">
        <v>1</v>
      </c>
      <c r="J389" s="23">
        <v>4</v>
      </c>
      <c r="K389" s="23"/>
      <c r="L389" s="23"/>
      <c r="M389" s="23"/>
      <c r="N389" s="24"/>
      <c r="O389" s="23">
        <v>610</v>
      </c>
      <c r="R389">
        <f t="shared" si="6"/>
        <v>0.66666666666666663</v>
      </c>
    </row>
    <row r="390" spans="1:18" ht="15.75" thickBot="1">
      <c r="A390" s="35" t="s">
        <v>407</v>
      </c>
      <c r="B390" s="23" t="s">
        <v>779</v>
      </c>
      <c r="C390" s="23" t="s">
        <v>639</v>
      </c>
      <c r="D390" s="23" t="s">
        <v>633</v>
      </c>
      <c r="E390" s="23"/>
      <c r="F390" s="23" t="s">
        <v>22</v>
      </c>
      <c r="G390" s="23">
        <v>1</v>
      </c>
      <c r="H390" s="23" t="s">
        <v>22</v>
      </c>
      <c r="I390" s="23" t="s">
        <v>22</v>
      </c>
      <c r="J390" s="23">
        <v>8</v>
      </c>
      <c r="K390" s="23"/>
      <c r="L390" s="23"/>
      <c r="M390" s="23"/>
      <c r="N390" s="24"/>
      <c r="O390" s="23">
        <v>721</v>
      </c>
      <c r="R390" t="e">
        <f t="shared" si="6"/>
        <v>#VALUE!</v>
      </c>
    </row>
    <row r="391" spans="1:18" ht="15.75" thickBot="1">
      <c r="A391" s="35" t="s">
        <v>408</v>
      </c>
      <c r="B391" s="23" t="s">
        <v>780</v>
      </c>
      <c r="C391" s="23">
        <v>6</v>
      </c>
      <c r="D391" s="23">
        <v>2</v>
      </c>
      <c r="E391" s="23"/>
      <c r="F391" s="23">
        <v>1</v>
      </c>
      <c r="G391" s="23" t="s">
        <v>652</v>
      </c>
      <c r="H391" s="23" t="s">
        <v>22</v>
      </c>
      <c r="I391" s="23" t="s">
        <v>22</v>
      </c>
      <c r="J391" s="23">
        <v>10</v>
      </c>
      <c r="K391" s="23"/>
      <c r="L391" s="23"/>
      <c r="M391" s="23"/>
      <c r="N391" s="24"/>
      <c r="O391" s="23">
        <v>724</v>
      </c>
      <c r="R391">
        <f t="shared" si="6"/>
        <v>1.6666666666666667</v>
      </c>
    </row>
    <row r="392" spans="1:18" ht="15.75" thickBot="1">
      <c r="A392" s="35" t="s">
        <v>409</v>
      </c>
      <c r="B392" s="23" t="s">
        <v>624</v>
      </c>
      <c r="C392" s="23">
        <v>5</v>
      </c>
      <c r="D392" s="23">
        <v>3</v>
      </c>
      <c r="E392" s="23">
        <v>2</v>
      </c>
      <c r="F392" s="23">
        <v>2</v>
      </c>
      <c r="G392" s="23">
        <v>1</v>
      </c>
      <c r="H392" s="23" t="s">
        <v>22</v>
      </c>
      <c r="I392" s="23" t="s">
        <v>22</v>
      </c>
      <c r="J392" s="23">
        <v>10</v>
      </c>
      <c r="K392" s="23"/>
      <c r="L392" s="23"/>
      <c r="M392" s="23"/>
      <c r="N392" s="24"/>
      <c r="O392" s="23">
        <v>629</v>
      </c>
      <c r="R392">
        <f t="shared" si="6"/>
        <v>2</v>
      </c>
    </row>
    <row r="393" spans="1:18" ht="15.75" thickBot="1">
      <c r="A393" s="35" t="s">
        <v>410</v>
      </c>
      <c r="B393" s="23" t="s">
        <v>629</v>
      </c>
      <c r="C393" s="23">
        <v>7</v>
      </c>
      <c r="D393" s="23">
        <v>3</v>
      </c>
      <c r="E393" s="23">
        <v>4</v>
      </c>
      <c r="F393" s="23">
        <v>2</v>
      </c>
      <c r="G393" s="23">
        <v>1</v>
      </c>
      <c r="H393" s="23" t="s">
        <v>22</v>
      </c>
      <c r="I393" s="23" t="s">
        <v>22</v>
      </c>
      <c r="J393" s="23">
        <v>6</v>
      </c>
      <c r="K393" s="23"/>
      <c r="L393" s="23"/>
      <c r="M393" s="23"/>
      <c r="N393" s="24"/>
      <c r="O393" s="23">
        <v>884</v>
      </c>
      <c r="R393">
        <f t="shared" si="6"/>
        <v>0.8571428571428571</v>
      </c>
    </row>
    <row r="394" spans="1:18" ht="15.75" thickBot="1">
      <c r="A394" s="35" t="s">
        <v>411</v>
      </c>
      <c r="B394" s="23" t="s">
        <v>624</v>
      </c>
      <c r="C394" s="23">
        <v>4</v>
      </c>
      <c r="D394" s="23">
        <v>2</v>
      </c>
      <c r="E394" s="23">
        <v>2</v>
      </c>
      <c r="F394" s="23">
        <v>1</v>
      </c>
      <c r="G394" s="23">
        <v>1</v>
      </c>
      <c r="H394" s="23" t="s">
        <v>22</v>
      </c>
      <c r="I394" s="23" t="s">
        <v>22</v>
      </c>
      <c r="J394" s="23">
        <v>4</v>
      </c>
      <c r="K394" s="23"/>
      <c r="L394" s="23"/>
      <c r="M394" s="23"/>
      <c r="N394" s="24"/>
      <c r="O394" s="23" t="s">
        <v>22</v>
      </c>
      <c r="R394">
        <f t="shared" si="6"/>
        <v>1</v>
      </c>
    </row>
    <row r="395" spans="1:18" ht="15.75" thickBot="1">
      <c r="A395" s="35" t="s">
        <v>412</v>
      </c>
      <c r="B395" s="23" t="s">
        <v>781</v>
      </c>
      <c r="C395" s="23">
        <v>2</v>
      </c>
      <c r="D395" s="23">
        <v>2</v>
      </c>
      <c r="E395" s="23" t="s">
        <v>22</v>
      </c>
      <c r="F395" s="23">
        <v>1</v>
      </c>
      <c r="G395" s="23">
        <v>1</v>
      </c>
      <c r="H395" s="23" t="s">
        <v>22</v>
      </c>
      <c r="I395" s="23" t="s">
        <v>22</v>
      </c>
      <c r="J395" s="23">
        <v>3</v>
      </c>
      <c r="K395" s="23"/>
      <c r="L395" s="23"/>
      <c r="M395" s="23"/>
      <c r="N395" s="24"/>
      <c r="O395" s="23">
        <v>460</v>
      </c>
      <c r="R395">
        <f t="shared" si="6"/>
        <v>1.5</v>
      </c>
    </row>
    <row r="396" spans="1:18" ht="15.75" thickBot="1">
      <c r="A396" s="35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4"/>
      <c r="O396" s="23"/>
      <c r="R396" t="e">
        <f t="shared" si="6"/>
        <v>#DIV/0!</v>
      </c>
    </row>
    <row r="397" spans="1:18" ht="15.75" thickBot="1">
      <c r="A397" s="35" t="s">
        <v>413</v>
      </c>
      <c r="B397" s="23" t="s">
        <v>624</v>
      </c>
      <c r="C397" s="23">
        <v>3</v>
      </c>
      <c r="D397" s="23">
        <v>1</v>
      </c>
      <c r="E397" s="23">
        <v>2</v>
      </c>
      <c r="F397" s="23" t="s">
        <v>22</v>
      </c>
      <c r="G397" s="23">
        <v>1</v>
      </c>
      <c r="H397" s="23" t="s">
        <v>22</v>
      </c>
      <c r="I397" s="23" t="s">
        <v>22</v>
      </c>
      <c r="J397" s="23">
        <v>3</v>
      </c>
      <c r="K397" s="23"/>
      <c r="L397" s="23"/>
      <c r="M397" s="23"/>
      <c r="N397" s="24"/>
      <c r="O397" s="23">
        <v>600</v>
      </c>
      <c r="R397">
        <f t="shared" si="6"/>
        <v>1</v>
      </c>
    </row>
    <row r="398" spans="1:18" ht="15.75" thickBot="1">
      <c r="A398" s="35" t="s">
        <v>414</v>
      </c>
      <c r="B398" s="23" t="s">
        <v>782</v>
      </c>
      <c r="C398" s="23">
        <v>6</v>
      </c>
      <c r="D398" s="23">
        <v>1</v>
      </c>
      <c r="E398" s="23"/>
      <c r="F398" s="23">
        <v>1</v>
      </c>
      <c r="G398" s="23">
        <v>1</v>
      </c>
      <c r="H398" s="23" t="s">
        <v>22</v>
      </c>
      <c r="I398" s="23" t="s">
        <v>22</v>
      </c>
      <c r="J398" s="23">
        <v>10</v>
      </c>
      <c r="K398" s="23"/>
      <c r="L398" s="23"/>
      <c r="M398" s="23"/>
      <c r="N398" s="24"/>
      <c r="O398" s="23">
        <v>77</v>
      </c>
      <c r="R398">
        <f t="shared" si="6"/>
        <v>1.6666666666666667</v>
      </c>
    </row>
    <row r="399" spans="1:18" ht="15.75" thickBot="1">
      <c r="A399" s="35" t="s">
        <v>415</v>
      </c>
      <c r="B399" s="23" t="s">
        <v>783</v>
      </c>
      <c r="C399" s="23">
        <v>4</v>
      </c>
      <c r="D399" s="23">
        <v>1</v>
      </c>
      <c r="E399" s="23">
        <v>3</v>
      </c>
      <c r="F399" s="23" t="s">
        <v>22</v>
      </c>
      <c r="G399" s="23">
        <v>1</v>
      </c>
      <c r="H399" s="23" t="s">
        <v>22</v>
      </c>
      <c r="I399" s="23" t="s">
        <v>22</v>
      </c>
      <c r="J399" s="23">
        <v>2</v>
      </c>
      <c r="K399" s="23"/>
      <c r="L399" s="23"/>
      <c r="M399" s="23"/>
      <c r="N399" s="24"/>
      <c r="O399" s="23">
        <v>446</v>
      </c>
      <c r="R399">
        <f t="shared" si="6"/>
        <v>0.5</v>
      </c>
    </row>
    <row r="400" spans="1:18" ht="15.75" thickBot="1">
      <c r="A400" s="35" t="s">
        <v>416</v>
      </c>
      <c r="B400" s="23" t="s">
        <v>624</v>
      </c>
      <c r="C400" s="23">
        <v>7</v>
      </c>
      <c r="D400" s="23">
        <v>1</v>
      </c>
      <c r="E400" s="23">
        <v>6</v>
      </c>
      <c r="F400" s="23">
        <v>1</v>
      </c>
      <c r="G400" s="23">
        <v>1</v>
      </c>
      <c r="H400" s="23" t="s">
        <v>22</v>
      </c>
      <c r="I400" s="23" t="s">
        <v>22</v>
      </c>
      <c r="J400" s="23">
        <v>8</v>
      </c>
      <c r="K400" s="23"/>
      <c r="L400" s="23"/>
      <c r="M400" s="23"/>
      <c r="N400" s="24"/>
      <c r="O400" s="23">
        <v>590</v>
      </c>
      <c r="R400">
        <f t="shared" si="6"/>
        <v>1.1428571428571428</v>
      </c>
    </row>
    <row r="401" spans="1:18" ht="15.75" thickBot="1">
      <c r="A401" s="35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4"/>
      <c r="O401" s="23"/>
      <c r="R401" t="e">
        <f t="shared" si="6"/>
        <v>#DIV/0!</v>
      </c>
    </row>
    <row r="402" spans="1:18" ht="15.75" thickBot="1">
      <c r="A402" s="35" t="s">
        <v>417</v>
      </c>
      <c r="B402" s="23" t="s">
        <v>631</v>
      </c>
      <c r="C402" s="23">
        <v>5</v>
      </c>
      <c r="D402" s="23">
        <v>2</v>
      </c>
      <c r="E402" s="23">
        <v>3</v>
      </c>
      <c r="F402" s="23">
        <v>1</v>
      </c>
      <c r="G402" s="23">
        <v>1</v>
      </c>
      <c r="H402" s="23" t="s">
        <v>22</v>
      </c>
      <c r="I402" s="23" t="s">
        <v>22</v>
      </c>
      <c r="J402" s="23">
        <v>5</v>
      </c>
      <c r="K402" s="23"/>
      <c r="L402" s="23"/>
      <c r="M402" s="23"/>
      <c r="N402" s="24"/>
      <c r="O402" s="23">
        <v>363</v>
      </c>
      <c r="R402">
        <f t="shared" si="6"/>
        <v>1</v>
      </c>
    </row>
    <row r="403" spans="1:18" ht="15.75" thickBot="1">
      <c r="A403" s="35" t="s">
        <v>418</v>
      </c>
      <c r="B403" s="23" t="s">
        <v>631</v>
      </c>
      <c r="C403" s="23">
        <v>4</v>
      </c>
      <c r="D403" s="23">
        <v>1</v>
      </c>
      <c r="E403" s="23">
        <v>3</v>
      </c>
      <c r="F403" s="23" t="s">
        <v>22</v>
      </c>
      <c r="G403" s="23">
        <v>1</v>
      </c>
      <c r="H403" s="23" t="s">
        <v>22</v>
      </c>
      <c r="I403" s="23" t="s">
        <v>22</v>
      </c>
      <c r="J403" s="23">
        <v>18</v>
      </c>
      <c r="K403" s="23"/>
      <c r="L403" s="23"/>
      <c r="M403" s="23"/>
      <c r="N403" s="24"/>
      <c r="O403" s="23" t="s">
        <v>22</v>
      </c>
      <c r="R403">
        <f t="shared" si="6"/>
        <v>4.5</v>
      </c>
    </row>
    <row r="404" spans="1:18" ht="15.75" thickBot="1">
      <c r="A404" s="35" t="s">
        <v>419</v>
      </c>
      <c r="B404" s="23" t="s">
        <v>631</v>
      </c>
      <c r="C404" s="23">
        <v>3</v>
      </c>
      <c r="D404" s="23">
        <v>1</v>
      </c>
      <c r="E404" s="23">
        <v>2</v>
      </c>
      <c r="F404" s="23">
        <v>1</v>
      </c>
      <c r="G404" s="23">
        <v>1</v>
      </c>
      <c r="H404" s="23" t="s">
        <v>22</v>
      </c>
      <c r="I404" s="23" t="s">
        <v>22</v>
      </c>
      <c r="J404" s="23">
        <v>5</v>
      </c>
      <c r="K404" s="23"/>
      <c r="L404" s="23"/>
      <c r="M404" s="23"/>
      <c r="N404" s="24"/>
      <c r="O404" s="23">
        <v>346</v>
      </c>
      <c r="R404">
        <f t="shared" si="6"/>
        <v>1.6666666666666667</v>
      </c>
    </row>
    <row r="405" spans="1:18" ht="15.75" thickBot="1">
      <c r="A405" s="35" t="s">
        <v>420</v>
      </c>
      <c r="B405" s="23" t="s">
        <v>631</v>
      </c>
      <c r="C405" s="23">
        <v>4</v>
      </c>
      <c r="D405" s="23">
        <v>1</v>
      </c>
      <c r="E405" s="23">
        <v>3</v>
      </c>
      <c r="F405" s="23">
        <v>1</v>
      </c>
      <c r="G405" s="23">
        <v>1</v>
      </c>
      <c r="H405" s="23" t="s">
        <v>22</v>
      </c>
      <c r="I405" s="23" t="s">
        <v>22</v>
      </c>
      <c r="J405" s="23">
        <v>7</v>
      </c>
      <c r="K405" s="23"/>
      <c r="L405" s="23"/>
      <c r="M405" s="23"/>
      <c r="N405" s="24"/>
      <c r="O405" s="23" t="s">
        <v>22</v>
      </c>
      <c r="R405">
        <f t="shared" si="6"/>
        <v>1.75</v>
      </c>
    </row>
    <row r="406" spans="1:18" ht="15.75" thickBot="1">
      <c r="A406" s="35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4"/>
      <c r="O406" s="23"/>
      <c r="R406" t="e">
        <f t="shared" si="6"/>
        <v>#DIV/0!</v>
      </c>
    </row>
    <row r="407" spans="1:18" ht="15.75" thickBot="1">
      <c r="A407" s="35" t="s">
        <v>421</v>
      </c>
      <c r="B407" s="23" t="s">
        <v>644</v>
      </c>
      <c r="C407" s="23">
        <v>6</v>
      </c>
      <c r="D407" s="23">
        <v>3</v>
      </c>
      <c r="E407" s="23">
        <v>3</v>
      </c>
      <c r="F407" s="23" t="s">
        <v>22</v>
      </c>
      <c r="G407" s="23">
        <v>1</v>
      </c>
      <c r="H407" s="23" t="s">
        <v>22</v>
      </c>
      <c r="I407" s="23" t="s">
        <v>22</v>
      </c>
      <c r="J407" s="25">
        <v>3.5</v>
      </c>
      <c r="K407" s="23"/>
      <c r="L407" s="23"/>
      <c r="M407" s="23"/>
      <c r="N407" s="24"/>
      <c r="O407" s="23" t="s">
        <v>22</v>
      </c>
      <c r="R407">
        <f t="shared" si="6"/>
        <v>0.58333333333333337</v>
      </c>
    </row>
    <row r="408" spans="1:18" ht="15.75" thickBot="1">
      <c r="A408" s="35" t="s">
        <v>422</v>
      </c>
      <c r="B408" s="23" t="s">
        <v>784</v>
      </c>
      <c r="C408" s="23">
        <v>5</v>
      </c>
      <c r="D408" s="23">
        <v>2</v>
      </c>
      <c r="E408" s="23">
        <v>3</v>
      </c>
      <c r="F408" s="23">
        <v>1</v>
      </c>
      <c r="G408" s="23">
        <v>1</v>
      </c>
      <c r="H408" s="23" t="s">
        <v>22</v>
      </c>
      <c r="I408" s="23" t="s">
        <v>22</v>
      </c>
      <c r="J408" s="23">
        <v>8</v>
      </c>
      <c r="K408" s="23"/>
      <c r="L408" s="23"/>
      <c r="M408" s="23"/>
      <c r="N408" s="24"/>
      <c r="O408" s="23">
        <v>145</v>
      </c>
      <c r="R408">
        <f t="shared" si="6"/>
        <v>1.6</v>
      </c>
    </row>
    <row r="409" spans="1:18" ht="15.75" thickBot="1">
      <c r="A409" s="35" t="s">
        <v>423</v>
      </c>
      <c r="B409" s="23" t="s">
        <v>785</v>
      </c>
      <c r="C409" s="23">
        <v>3</v>
      </c>
      <c r="D409" s="23">
        <v>1</v>
      </c>
      <c r="E409" s="23">
        <v>2</v>
      </c>
      <c r="F409" s="23">
        <v>1</v>
      </c>
      <c r="G409" s="23" t="s">
        <v>22</v>
      </c>
      <c r="H409" s="23" t="s">
        <v>22</v>
      </c>
      <c r="I409" s="23" t="s">
        <v>22</v>
      </c>
      <c r="J409" s="23">
        <v>8</v>
      </c>
      <c r="K409" s="23"/>
      <c r="L409" s="23"/>
      <c r="M409" s="23"/>
      <c r="N409" s="24"/>
      <c r="O409" s="23" t="s">
        <v>22</v>
      </c>
      <c r="R409">
        <f t="shared" si="6"/>
        <v>2.6666666666666665</v>
      </c>
    </row>
    <row r="410" spans="1:18" ht="15.75" thickBot="1">
      <c r="A410" s="35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4"/>
      <c r="O410" s="23"/>
      <c r="R410" t="e">
        <f t="shared" si="6"/>
        <v>#DIV/0!</v>
      </c>
    </row>
    <row r="411" spans="1:18" ht="15.75" thickBot="1">
      <c r="A411" s="35" t="s">
        <v>424</v>
      </c>
      <c r="B411" s="23" t="s">
        <v>641</v>
      </c>
      <c r="C411" s="23">
        <v>4</v>
      </c>
      <c r="D411" s="23">
        <v>1</v>
      </c>
      <c r="E411" s="23">
        <v>3</v>
      </c>
      <c r="F411" s="23" t="s">
        <v>22</v>
      </c>
      <c r="G411" s="23">
        <v>1</v>
      </c>
      <c r="H411" s="23" t="s">
        <v>22</v>
      </c>
      <c r="I411" s="23" t="s">
        <v>22</v>
      </c>
      <c r="J411" s="25">
        <v>1.5</v>
      </c>
      <c r="K411" s="23"/>
      <c r="L411" s="23"/>
      <c r="M411" s="23"/>
      <c r="N411" s="24"/>
      <c r="O411" s="23">
        <v>127</v>
      </c>
      <c r="R411">
        <f t="shared" si="6"/>
        <v>0.375</v>
      </c>
    </row>
    <row r="412" spans="1:18" ht="15.75" thickBot="1">
      <c r="A412" s="35" t="s">
        <v>425</v>
      </c>
      <c r="B412" s="23" t="s">
        <v>786</v>
      </c>
      <c r="C412" s="23">
        <v>5</v>
      </c>
      <c r="D412" s="23">
        <v>1</v>
      </c>
      <c r="E412" s="23">
        <v>4</v>
      </c>
      <c r="F412" s="23" t="s">
        <v>22</v>
      </c>
      <c r="G412" s="23">
        <v>1</v>
      </c>
      <c r="H412" s="23" t="s">
        <v>22</v>
      </c>
      <c r="I412" s="23" t="s">
        <v>22</v>
      </c>
      <c r="J412" s="25">
        <v>1.25</v>
      </c>
      <c r="K412" s="23"/>
      <c r="L412" s="23"/>
      <c r="M412" s="23"/>
      <c r="N412" s="24"/>
      <c r="O412" s="23">
        <v>890</v>
      </c>
      <c r="R412">
        <f t="shared" si="6"/>
        <v>0.25</v>
      </c>
    </row>
    <row r="413" spans="1:18" ht="15.75" thickBot="1">
      <c r="A413" s="35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4"/>
      <c r="O413" s="23"/>
      <c r="R413" t="e">
        <f t="shared" si="6"/>
        <v>#DIV/0!</v>
      </c>
    </row>
    <row r="414" spans="1:18" ht="15.75" thickBot="1">
      <c r="A414" s="35" t="s">
        <v>426</v>
      </c>
      <c r="B414" s="23" t="s">
        <v>643</v>
      </c>
      <c r="C414" s="23">
        <v>8</v>
      </c>
      <c r="D414" s="23">
        <v>1</v>
      </c>
      <c r="E414" s="23">
        <v>7</v>
      </c>
      <c r="F414" s="23">
        <v>1</v>
      </c>
      <c r="G414" s="23">
        <v>2</v>
      </c>
      <c r="H414" s="23" t="s">
        <v>22</v>
      </c>
      <c r="I414" s="23">
        <v>2</v>
      </c>
      <c r="J414" s="23" t="s">
        <v>22</v>
      </c>
      <c r="K414" s="23"/>
      <c r="L414" s="23"/>
      <c r="M414" s="23"/>
      <c r="N414" s="24"/>
      <c r="O414" s="23" t="s">
        <v>22</v>
      </c>
      <c r="R414" t="e">
        <f t="shared" si="6"/>
        <v>#VALUE!</v>
      </c>
    </row>
    <row r="415" spans="1:18" ht="15.75" thickBot="1">
      <c r="A415" s="35" t="s">
        <v>427</v>
      </c>
      <c r="B415" s="23" t="s">
        <v>710</v>
      </c>
      <c r="C415" s="23">
        <v>2</v>
      </c>
      <c r="D415" s="23">
        <v>1</v>
      </c>
      <c r="E415" s="23">
        <v>1</v>
      </c>
      <c r="F415" s="23">
        <v>1</v>
      </c>
      <c r="G415" s="23">
        <v>1</v>
      </c>
      <c r="H415" s="23" t="s">
        <v>22</v>
      </c>
      <c r="I415" s="23" t="s">
        <v>22</v>
      </c>
      <c r="J415" s="23">
        <v>3</v>
      </c>
      <c r="K415" s="23"/>
      <c r="L415" s="23"/>
      <c r="M415" s="23"/>
      <c r="N415" s="24"/>
      <c r="O415" s="23">
        <v>864</v>
      </c>
      <c r="R415">
        <f t="shared" si="6"/>
        <v>1.5</v>
      </c>
    </row>
    <row r="416" spans="1:18" ht="15.75" thickBot="1">
      <c r="A416" s="35" t="s">
        <v>428</v>
      </c>
      <c r="B416" s="23" t="s">
        <v>710</v>
      </c>
      <c r="C416" s="23">
        <v>5</v>
      </c>
      <c r="D416" s="23">
        <v>2</v>
      </c>
      <c r="E416" s="23">
        <v>2</v>
      </c>
      <c r="F416" s="23">
        <v>1</v>
      </c>
      <c r="G416" s="23">
        <v>1</v>
      </c>
      <c r="H416" s="23" t="s">
        <v>22</v>
      </c>
      <c r="I416" s="23" t="s">
        <v>22</v>
      </c>
      <c r="J416" s="23">
        <v>8</v>
      </c>
      <c r="K416" s="23"/>
      <c r="L416" s="23"/>
      <c r="M416" s="23"/>
      <c r="N416" s="24"/>
      <c r="O416" s="23" t="s">
        <v>22</v>
      </c>
      <c r="R416">
        <f t="shared" si="6"/>
        <v>1.6</v>
      </c>
    </row>
    <row r="417" spans="1:18" ht="15.75" thickBot="1">
      <c r="A417" s="35" t="s">
        <v>429</v>
      </c>
      <c r="B417" s="23" t="s">
        <v>670</v>
      </c>
      <c r="C417" s="23">
        <v>4</v>
      </c>
      <c r="D417" s="23">
        <v>2</v>
      </c>
      <c r="E417" s="23">
        <v>2</v>
      </c>
      <c r="F417" s="23">
        <v>1</v>
      </c>
      <c r="G417" s="23">
        <v>1</v>
      </c>
      <c r="H417" s="23" t="s">
        <v>22</v>
      </c>
      <c r="I417" s="23" t="s">
        <v>22</v>
      </c>
      <c r="J417" s="23">
        <v>8</v>
      </c>
      <c r="K417" s="23"/>
      <c r="L417" s="23"/>
      <c r="M417" s="23"/>
      <c r="N417" s="24"/>
      <c r="O417" s="23">
        <v>824</v>
      </c>
      <c r="R417">
        <f t="shared" si="6"/>
        <v>2</v>
      </c>
    </row>
    <row r="418" spans="1:18" ht="15.75" thickBot="1">
      <c r="A418" s="35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4"/>
      <c r="O418" s="23"/>
      <c r="R418" t="e">
        <f t="shared" si="6"/>
        <v>#DIV/0!</v>
      </c>
    </row>
    <row r="419" spans="1:18" ht="15.75" thickBot="1">
      <c r="A419" s="35" t="s">
        <v>430</v>
      </c>
      <c r="B419" s="23" t="s">
        <v>710</v>
      </c>
      <c r="C419" s="23">
        <v>4</v>
      </c>
      <c r="D419" s="23">
        <v>2</v>
      </c>
      <c r="E419" s="23">
        <v>2</v>
      </c>
      <c r="F419" s="23">
        <v>1</v>
      </c>
      <c r="G419" s="23">
        <v>1</v>
      </c>
      <c r="H419" s="23" t="s">
        <v>22</v>
      </c>
      <c r="I419" s="23" t="s">
        <v>22</v>
      </c>
      <c r="J419" s="23">
        <v>4</v>
      </c>
      <c r="K419" s="23"/>
      <c r="L419" s="23"/>
      <c r="M419" s="23"/>
      <c r="N419" s="24"/>
      <c r="O419" s="23" t="s">
        <v>22</v>
      </c>
      <c r="R419">
        <f t="shared" si="6"/>
        <v>1</v>
      </c>
    </row>
    <row r="420" spans="1:18" ht="15.75" thickBot="1">
      <c r="A420" s="35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4"/>
      <c r="O420" s="23"/>
      <c r="R420" t="e">
        <f t="shared" si="6"/>
        <v>#DIV/0!</v>
      </c>
    </row>
    <row r="421" spans="1:18" ht="15.75" thickBot="1">
      <c r="A421" s="35" t="s">
        <v>431</v>
      </c>
      <c r="B421" s="23" t="s">
        <v>787</v>
      </c>
      <c r="C421" s="23">
        <v>8</v>
      </c>
      <c r="D421" s="23" t="s">
        <v>22</v>
      </c>
      <c r="E421" s="23">
        <v>8</v>
      </c>
      <c r="F421" s="23">
        <v>1</v>
      </c>
      <c r="G421" s="23">
        <v>1</v>
      </c>
      <c r="H421" s="23" t="s">
        <v>22</v>
      </c>
      <c r="I421" s="23" t="s">
        <v>22</v>
      </c>
      <c r="J421" s="23">
        <v>9</v>
      </c>
      <c r="K421" s="23"/>
      <c r="L421" s="23"/>
      <c r="M421" s="23"/>
      <c r="N421" s="24"/>
      <c r="O421" s="23" t="s">
        <v>22</v>
      </c>
      <c r="R421">
        <f t="shared" si="6"/>
        <v>1.125</v>
      </c>
    </row>
    <row r="422" spans="1:18" ht="15.75" thickBot="1">
      <c r="A422" s="35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4"/>
      <c r="O422" s="23"/>
      <c r="R422" t="e">
        <f t="shared" si="6"/>
        <v>#DIV/0!</v>
      </c>
    </row>
    <row r="423" spans="1:18" ht="15.75" thickBot="1">
      <c r="A423" s="35" t="s">
        <v>432</v>
      </c>
      <c r="B423" s="23" t="s">
        <v>788</v>
      </c>
      <c r="C423" s="23">
        <v>8</v>
      </c>
      <c r="D423" s="23">
        <v>3</v>
      </c>
      <c r="E423" s="23">
        <v>5</v>
      </c>
      <c r="F423" s="23">
        <v>1</v>
      </c>
      <c r="G423" s="23">
        <v>1</v>
      </c>
      <c r="H423" s="23" t="s">
        <v>22</v>
      </c>
      <c r="I423" s="23" t="s">
        <v>789</v>
      </c>
      <c r="J423" s="23">
        <v>5</v>
      </c>
      <c r="K423" s="23"/>
      <c r="L423" s="23"/>
      <c r="M423" s="23"/>
      <c r="N423" s="24"/>
      <c r="O423" s="23">
        <v>163</v>
      </c>
      <c r="R423">
        <f t="shared" si="6"/>
        <v>0.625</v>
      </c>
    </row>
    <row r="424" spans="1:18" ht="15.75" thickBot="1">
      <c r="A424" s="35" t="s">
        <v>433</v>
      </c>
      <c r="B424" s="23" t="s">
        <v>644</v>
      </c>
      <c r="C424" s="23">
        <v>6</v>
      </c>
      <c r="D424" s="23">
        <v>1</v>
      </c>
      <c r="E424" s="23">
        <v>5</v>
      </c>
      <c r="F424" s="23">
        <v>1</v>
      </c>
      <c r="G424" s="23">
        <v>1</v>
      </c>
      <c r="H424" s="23" t="s">
        <v>22</v>
      </c>
      <c r="I424" s="23" t="s">
        <v>22</v>
      </c>
      <c r="J424" s="23">
        <v>8</v>
      </c>
      <c r="K424" s="23"/>
      <c r="L424" s="23"/>
      <c r="M424" s="23"/>
      <c r="N424" s="24"/>
      <c r="O424" s="23" t="s">
        <v>22</v>
      </c>
      <c r="R424">
        <f t="shared" si="6"/>
        <v>1.3333333333333333</v>
      </c>
    </row>
    <row r="425" spans="1:18" ht="15.75" thickBot="1">
      <c r="A425" s="35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4"/>
      <c r="O425" s="23"/>
      <c r="R425" t="e">
        <f t="shared" si="6"/>
        <v>#DIV/0!</v>
      </c>
    </row>
    <row r="426" spans="1:18" ht="15.75" thickBot="1">
      <c r="A426" s="35" t="s">
        <v>434</v>
      </c>
      <c r="B426" s="23" t="s">
        <v>710</v>
      </c>
      <c r="C426" s="23">
        <v>8</v>
      </c>
      <c r="D426" s="23">
        <v>2</v>
      </c>
      <c r="E426" s="23">
        <v>6</v>
      </c>
      <c r="F426" s="23">
        <v>1</v>
      </c>
      <c r="G426" s="23">
        <v>1</v>
      </c>
      <c r="H426" s="23" t="s">
        <v>22</v>
      </c>
      <c r="I426" s="23" t="s">
        <v>22</v>
      </c>
      <c r="J426" s="23">
        <v>7</v>
      </c>
      <c r="K426" s="23"/>
      <c r="L426" s="23"/>
      <c r="M426" s="23"/>
      <c r="N426" s="24"/>
      <c r="O426" s="23">
        <v>869</v>
      </c>
      <c r="R426">
        <f t="shared" si="6"/>
        <v>0.875</v>
      </c>
    </row>
    <row r="427" spans="1:18" ht="15.75" thickBot="1">
      <c r="A427" s="35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4"/>
      <c r="O427" s="23"/>
      <c r="R427" t="e">
        <f t="shared" si="6"/>
        <v>#DIV/0!</v>
      </c>
    </row>
    <row r="428" spans="1:18" ht="15.75" thickBot="1">
      <c r="A428" s="35" t="s">
        <v>435</v>
      </c>
      <c r="B428" s="23" t="s">
        <v>790</v>
      </c>
      <c r="C428" s="23">
        <v>5</v>
      </c>
      <c r="D428" s="23">
        <v>1</v>
      </c>
      <c r="E428" s="23">
        <v>4</v>
      </c>
      <c r="F428" s="23" t="s">
        <v>22</v>
      </c>
      <c r="G428" s="23" t="s">
        <v>22</v>
      </c>
      <c r="H428" s="23" t="s">
        <v>22</v>
      </c>
      <c r="I428" s="23" t="s">
        <v>22</v>
      </c>
      <c r="J428" s="23" t="s">
        <v>22</v>
      </c>
      <c r="K428" s="23"/>
      <c r="L428" s="23"/>
      <c r="M428" s="23"/>
      <c r="N428" s="24"/>
      <c r="O428" s="23" t="s">
        <v>22</v>
      </c>
      <c r="R428" t="e">
        <f t="shared" si="6"/>
        <v>#VALUE!</v>
      </c>
    </row>
    <row r="429" spans="1:18" ht="15.75" thickBot="1">
      <c r="A429" s="35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4"/>
      <c r="O429" s="23"/>
      <c r="R429" t="e">
        <f t="shared" si="6"/>
        <v>#DIV/0!</v>
      </c>
    </row>
    <row r="430" spans="1:18" ht="15.75" thickBot="1">
      <c r="A430" s="35" t="s">
        <v>436</v>
      </c>
      <c r="B430" s="23" t="s">
        <v>791</v>
      </c>
      <c r="C430" s="23">
        <v>3</v>
      </c>
      <c r="D430" s="23">
        <v>1</v>
      </c>
      <c r="E430" s="23">
        <v>2</v>
      </c>
      <c r="F430" s="23">
        <v>1</v>
      </c>
      <c r="G430" s="23">
        <v>1</v>
      </c>
      <c r="H430" s="23" t="s">
        <v>22</v>
      </c>
      <c r="I430" s="23" t="s">
        <v>22</v>
      </c>
      <c r="J430" s="23">
        <v>3</v>
      </c>
      <c r="K430" s="23"/>
      <c r="L430" s="23"/>
      <c r="M430" s="23"/>
      <c r="N430" s="24"/>
      <c r="O430" s="23" t="s">
        <v>22</v>
      </c>
      <c r="R430">
        <f t="shared" si="6"/>
        <v>1</v>
      </c>
    </row>
    <row r="431" spans="1:18" ht="15.75" thickBot="1">
      <c r="A431" s="35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4"/>
      <c r="O431" s="23"/>
      <c r="R431" t="e">
        <f t="shared" si="6"/>
        <v>#DIV/0!</v>
      </c>
    </row>
    <row r="432" spans="1:18" ht="15.75" thickBot="1">
      <c r="A432" s="35" t="s">
        <v>437</v>
      </c>
      <c r="B432" s="23" t="s">
        <v>792</v>
      </c>
      <c r="C432" s="23">
        <v>4</v>
      </c>
      <c r="D432" s="23" t="s">
        <v>22</v>
      </c>
      <c r="E432" s="23">
        <v>4</v>
      </c>
      <c r="F432" s="23" t="s">
        <v>22</v>
      </c>
      <c r="G432" s="23" t="s">
        <v>22</v>
      </c>
      <c r="H432" s="23" t="s">
        <v>22</v>
      </c>
      <c r="I432" s="23" t="s">
        <v>22</v>
      </c>
      <c r="J432" s="23" t="s">
        <v>22</v>
      </c>
      <c r="K432" s="23"/>
      <c r="L432" s="23"/>
      <c r="M432" s="23"/>
      <c r="N432" s="24"/>
      <c r="O432" s="23" t="s">
        <v>22</v>
      </c>
      <c r="R432" t="e">
        <f t="shared" si="6"/>
        <v>#VALUE!</v>
      </c>
    </row>
    <row r="433" spans="1:18" ht="15.75" thickBot="1">
      <c r="A433" s="35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4"/>
      <c r="O433" s="23"/>
      <c r="R433" t="e">
        <f t="shared" si="6"/>
        <v>#DIV/0!</v>
      </c>
    </row>
    <row r="434" spans="1:18" ht="15.75" thickBot="1">
      <c r="A434" s="35" t="s">
        <v>4980</v>
      </c>
      <c r="B434" s="23" t="s">
        <v>631</v>
      </c>
      <c r="C434" s="23">
        <v>3</v>
      </c>
      <c r="D434" s="23">
        <v>2</v>
      </c>
      <c r="E434" s="23">
        <v>1</v>
      </c>
      <c r="F434" s="23">
        <v>1</v>
      </c>
      <c r="G434" s="23">
        <v>1</v>
      </c>
      <c r="H434" s="23" t="s">
        <v>22</v>
      </c>
      <c r="I434" s="23" t="s">
        <v>22</v>
      </c>
      <c r="J434" s="23">
        <v>6</v>
      </c>
      <c r="K434" s="23"/>
      <c r="L434" s="23"/>
      <c r="M434" s="23"/>
      <c r="N434" s="24"/>
      <c r="O434" s="23">
        <v>335</v>
      </c>
      <c r="R434">
        <f t="shared" si="6"/>
        <v>2</v>
      </c>
    </row>
    <row r="435" spans="1:18" ht="15.75" thickBot="1">
      <c r="A435" s="35" t="s">
        <v>4981</v>
      </c>
      <c r="B435" s="23" t="s">
        <v>631</v>
      </c>
      <c r="C435" s="23">
        <v>3</v>
      </c>
      <c r="D435" s="23" t="s">
        <v>22</v>
      </c>
      <c r="E435" s="23">
        <v>3</v>
      </c>
      <c r="F435" s="23">
        <v>1</v>
      </c>
      <c r="G435" s="23">
        <v>1</v>
      </c>
      <c r="H435" s="23" t="s">
        <v>22</v>
      </c>
      <c r="I435" s="23" t="s">
        <v>22</v>
      </c>
      <c r="J435" s="23">
        <v>6</v>
      </c>
      <c r="K435" s="23"/>
      <c r="L435" s="23"/>
      <c r="M435" s="23"/>
      <c r="N435" s="24"/>
      <c r="O435" s="23" t="s">
        <v>22</v>
      </c>
      <c r="R435">
        <f t="shared" si="6"/>
        <v>2</v>
      </c>
    </row>
    <row r="436" spans="1:18" ht="15.75" thickBot="1">
      <c r="A436" s="35" t="s">
        <v>4982</v>
      </c>
      <c r="B436" s="23" t="s">
        <v>627</v>
      </c>
      <c r="C436" s="23">
        <v>4</v>
      </c>
      <c r="D436" s="23">
        <v>1</v>
      </c>
      <c r="E436" s="23">
        <v>3</v>
      </c>
      <c r="F436" s="23" t="s">
        <v>22</v>
      </c>
      <c r="G436" s="23">
        <v>1</v>
      </c>
      <c r="H436" s="23" t="s">
        <v>22</v>
      </c>
      <c r="I436" s="23" t="s">
        <v>22</v>
      </c>
      <c r="J436" s="23">
        <v>4</v>
      </c>
      <c r="K436" s="23"/>
      <c r="L436" s="23"/>
      <c r="M436" s="23"/>
      <c r="N436" s="24"/>
      <c r="O436" s="23">
        <v>557</v>
      </c>
      <c r="R436">
        <f t="shared" si="6"/>
        <v>1</v>
      </c>
    </row>
    <row r="437" spans="1:18" ht="15.75" thickBot="1">
      <c r="A437" s="35" t="s">
        <v>4983</v>
      </c>
      <c r="B437" s="23" t="s">
        <v>793</v>
      </c>
      <c r="C437" s="23">
        <v>2</v>
      </c>
      <c r="D437" s="23" t="s">
        <v>22</v>
      </c>
      <c r="E437" s="23">
        <v>2</v>
      </c>
      <c r="F437" s="23">
        <v>1</v>
      </c>
      <c r="G437" s="23">
        <v>1</v>
      </c>
      <c r="H437" s="23" t="s">
        <v>22</v>
      </c>
      <c r="I437" s="23" t="s">
        <v>22</v>
      </c>
      <c r="J437" s="23">
        <v>5</v>
      </c>
      <c r="K437" s="23"/>
      <c r="L437" s="23"/>
      <c r="M437" s="23"/>
      <c r="N437" s="24"/>
      <c r="O437" s="23">
        <v>419</v>
      </c>
      <c r="R437">
        <f t="shared" si="6"/>
        <v>2.5</v>
      </c>
    </row>
    <row r="438" spans="1:18" ht="15.75" thickBot="1">
      <c r="A438" s="35" t="s">
        <v>4984</v>
      </c>
      <c r="B438" s="23" t="s">
        <v>627</v>
      </c>
      <c r="C438" s="23">
        <v>13</v>
      </c>
      <c r="D438" s="23">
        <v>2</v>
      </c>
      <c r="E438" s="23">
        <v>11</v>
      </c>
      <c r="F438" s="23">
        <v>3</v>
      </c>
      <c r="G438" s="23">
        <v>3</v>
      </c>
      <c r="H438" s="23" t="s">
        <v>22</v>
      </c>
      <c r="I438" s="23">
        <v>2</v>
      </c>
      <c r="J438" s="23">
        <v>15</v>
      </c>
      <c r="K438" s="23"/>
      <c r="L438" s="23"/>
      <c r="M438" s="23"/>
      <c r="N438" s="24"/>
      <c r="O438" s="23">
        <v>527</v>
      </c>
      <c r="R438">
        <f t="shared" si="6"/>
        <v>1.1538461538461537</v>
      </c>
    </row>
    <row r="439" spans="1:18" ht="15.75" thickBot="1">
      <c r="A439" s="35" t="s">
        <v>4985</v>
      </c>
      <c r="B439" s="23" t="s">
        <v>627</v>
      </c>
      <c r="C439" s="23">
        <v>2</v>
      </c>
      <c r="D439" s="23" t="s">
        <v>22</v>
      </c>
      <c r="E439" s="23">
        <v>2</v>
      </c>
      <c r="F439" s="23">
        <v>1</v>
      </c>
      <c r="G439" s="23">
        <v>1</v>
      </c>
      <c r="H439" s="23" t="s">
        <v>22</v>
      </c>
      <c r="I439" s="23" t="s">
        <v>22</v>
      </c>
      <c r="J439" s="23">
        <v>4</v>
      </c>
      <c r="K439" s="23"/>
      <c r="L439" s="23"/>
      <c r="M439" s="23"/>
      <c r="N439" s="24"/>
      <c r="O439" s="23">
        <v>541</v>
      </c>
      <c r="R439">
        <f t="shared" si="6"/>
        <v>2</v>
      </c>
    </row>
    <row r="440" spans="1:18" ht="15.75" thickBot="1">
      <c r="A440" s="35" t="s">
        <v>4986</v>
      </c>
      <c r="B440" s="23" t="s">
        <v>627</v>
      </c>
      <c r="C440" s="23">
        <v>4</v>
      </c>
      <c r="D440" s="23">
        <v>1</v>
      </c>
      <c r="E440" s="23">
        <v>3</v>
      </c>
      <c r="F440" s="23">
        <v>1</v>
      </c>
      <c r="G440" s="23">
        <v>1</v>
      </c>
      <c r="H440" s="23" t="s">
        <v>22</v>
      </c>
      <c r="I440" s="23">
        <v>1</v>
      </c>
      <c r="J440" s="23">
        <v>4</v>
      </c>
      <c r="K440" s="23"/>
      <c r="L440" s="23"/>
      <c r="M440" s="23"/>
      <c r="N440" s="24"/>
      <c r="O440" s="23">
        <v>567</v>
      </c>
      <c r="R440">
        <f t="shared" si="6"/>
        <v>1</v>
      </c>
    </row>
    <row r="441" spans="1:18" ht="15.75" thickBot="1">
      <c r="A441" s="35" t="s">
        <v>4987</v>
      </c>
      <c r="B441" s="23" t="s">
        <v>631</v>
      </c>
      <c r="C441" s="23">
        <v>4</v>
      </c>
      <c r="D441" s="23">
        <v>2</v>
      </c>
      <c r="E441" s="23">
        <v>2</v>
      </c>
      <c r="F441" s="23">
        <v>1</v>
      </c>
      <c r="G441" s="23">
        <v>1</v>
      </c>
      <c r="H441" s="23" t="s">
        <v>22</v>
      </c>
      <c r="I441" s="23" t="s">
        <v>22</v>
      </c>
      <c r="J441" s="23">
        <v>4</v>
      </c>
      <c r="K441" s="23"/>
      <c r="L441" s="23"/>
      <c r="M441" s="23"/>
      <c r="N441" s="24"/>
      <c r="O441" s="23" t="s">
        <v>22</v>
      </c>
      <c r="R441">
        <f t="shared" si="6"/>
        <v>1</v>
      </c>
    </row>
    <row r="442" spans="1:18" ht="15.75" thickBot="1">
      <c r="A442" s="35" t="s">
        <v>4988</v>
      </c>
      <c r="B442" s="23" t="s">
        <v>631</v>
      </c>
      <c r="C442" s="23">
        <v>2</v>
      </c>
      <c r="D442" s="23" t="s">
        <v>22</v>
      </c>
      <c r="E442" s="23">
        <v>2</v>
      </c>
      <c r="F442" s="23" t="s">
        <v>22</v>
      </c>
      <c r="G442" s="23" t="s">
        <v>22</v>
      </c>
      <c r="H442" s="23" t="s">
        <v>22</v>
      </c>
      <c r="I442" s="23" t="s">
        <v>22</v>
      </c>
      <c r="J442" s="23">
        <v>1</v>
      </c>
      <c r="K442" s="23"/>
      <c r="L442" s="23"/>
      <c r="M442" s="23"/>
      <c r="N442" s="24"/>
      <c r="O442" s="23" t="s">
        <v>22</v>
      </c>
      <c r="R442">
        <f t="shared" si="6"/>
        <v>0.5</v>
      </c>
    </row>
    <row r="443" spans="1:18" ht="15.75" thickBot="1">
      <c r="A443" s="35" t="s">
        <v>4989</v>
      </c>
      <c r="B443" s="23" t="s">
        <v>629</v>
      </c>
      <c r="C443" s="23">
        <v>8</v>
      </c>
      <c r="D443" s="23">
        <v>1</v>
      </c>
      <c r="E443" s="23">
        <v>7</v>
      </c>
      <c r="F443" s="23">
        <v>2</v>
      </c>
      <c r="G443" s="23">
        <v>1</v>
      </c>
      <c r="H443" s="23" t="s">
        <v>22</v>
      </c>
      <c r="I443" s="23" t="s">
        <v>22</v>
      </c>
      <c r="J443" s="23">
        <v>9</v>
      </c>
      <c r="K443" s="23"/>
      <c r="L443" s="23"/>
      <c r="M443" s="23"/>
      <c r="N443" s="24"/>
      <c r="O443" s="23">
        <v>881</v>
      </c>
      <c r="R443">
        <f t="shared" si="6"/>
        <v>1.125</v>
      </c>
    </row>
    <row r="444" spans="1:18" ht="15.75" thickBot="1">
      <c r="A444" s="35" t="s">
        <v>4990</v>
      </c>
      <c r="B444" s="23" t="s">
        <v>627</v>
      </c>
      <c r="C444" s="23">
        <v>5</v>
      </c>
      <c r="D444" s="23">
        <v>1</v>
      </c>
      <c r="E444" s="23">
        <v>4</v>
      </c>
      <c r="F444" s="23">
        <v>1</v>
      </c>
      <c r="G444" s="23">
        <v>1</v>
      </c>
      <c r="H444" s="23" t="s">
        <v>22</v>
      </c>
      <c r="I444" s="23">
        <v>1</v>
      </c>
      <c r="J444" s="23">
        <v>4</v>
      </c>
      <c r="K444" s="23"/>
      <c r="L444" s="23"/>
      <c r="M444" s="23"/>
      <c r="N444" s="24"/>
      <c r="O444" s="23">
        <v>561</v>
      </c>
      <c r="R444">
        <f t="shared" si="6"/>
        <v>0.8</v>
      </c>
    </row>
    <row r="445" spans="1:18" ht="15.75" thickBot="1">
      <c r="A445" s="35" t="s">
        <v>4991</v>
      </c>
      <c r="B445" s="23" t="s">
        <v>629</v>
      </c>
      <c r="C445" s="23">
        <v>7</v>
      </c>
      <c r="D445" s="23">
        <v>4</v>
      </c>
      <c r="E445" s="23">
        <v>3</v>
      </c>
      <c r="F445" s="23">
        <v>2</v>
      </c>
      <c r="G445" s="23">
        <v>1</v>
      </c>
      <c r="H445" s="23" t="s">
        <v>22</v>
      </c>
      <c r="I445" s="23">
        <v>2</v>
      </c>
      <c r="J445" s="23">
        <v>9</v>
      </c>
      <c r="K445" s="23"/>
      <c r="L445" s="23"/>
      <c r="M445" s="23"/>
      <c r="N445" s="24"/>
      <c r="O445" s="23">
        <v>890</v>
      </c>
      <c r="R445">
        <f t="shared" si="6"/>
        <v>1.2857142857142858</v>
      </c>
    </row>
    <row r="446" spans="1:18" ht="15.75" thickBot="1">
      <c r="A446" s="35" t="s">
        <v>4992</v>
      </c>
      <c r="B446" s="23" t="s">
        <v>794</v>
      </c>
      <c r="C446" s="23">
        <v>6</v>
      </c>
      <c r="D446" s="23">
        <v>2</v>
      </c>
      <c r="E446" s="23">
        <v>4</v>
      </c>
      <c r="F446" s="23">
        <v>2</v>
      </c>
      <c r="G446" s="23">
        <v>1</v>
      </c>
      <c r="H446" s="23" t="s">
        <v>22</v>
      </c>
      <c r="I446" s="23" t="s">
        <v>22</v>
      </c>
      <c r="J446" s="23">
        <v>9</v>
      </c>
      <c r="K446" s="23"/>
      <c r="L446" s="23"/>
      <c r="M446" s="23"/>
      <c r="N446" s="24"/>
      <c r="O446" s="23">
        <v>404</v>
      </c>
      <c r="R446">
        <f t="shared" si="6"/>
        <v>1.5</v>
      </c>
    </row>
    <row r="447" spans="1:18" ht="15.75" thickBot="1">
      <c r="A447" s="35" t="s">
        <v>4993</v>
      </c>
      <c r="B447" s="23" t="s">
        <v>795</v>
      </c>
      <c r="C447" s="23">
        <v>5</v>
      </c>
      <c r="D447" s="23">
        <v>1</v>
      </c>
      <c r="E447" s="23">
        <v>4</v>
      </c>
      <c r="F447" s="23">
        <v>1</v>
      </c>
      <c r="G447" s="23">
        <v>1</v>
      </c>
      <c r="H447" s="23" t="s">
        <v>22</v>
      </c>
      <c r="I447" s="23" t="s">
        <v>22</v>
      </c>
      <c r="J447" s="23">
        <v>9</v>
      </c>
      <c r="K447" s="23"/>
      <c r="L447" s="23"/>
      <c r="M447" s="23"/>
      <c r="N447" s="24"/>
      <c r="O447" s="23" t="s">
        <v>22</v>
      </c>
      <c r="R447">
        <f t="shared" si="6"/>
        <v>1.8</v>
      </c>
    </row>
    <row r="448" spans="1:18" ht="15.75" thickBot="1">
      <c r="A448" s="35" t="s">
        <v>4994</v>
      </c>
      <c r="B448" s="23" t="s">
        <v>631</v>
      </c>
      <c r="C448" s="23">
        <v>5</v>
      </c>
      <c r="D448" s="23">
        <v>2</v>
      </c>
      <c r="E448" s="23">
        <v>3</v>
      </c>
      <c r="F448" s="23">
        <v>1</v>
      </c>
      <c r="G448" s="23">
        <v>1</v>
      </c>
      <c r="H448" s="23" t="s">
        <v>22</v>
      </c>
      <c r="I448" s="23" t="s">
        <v>22</v>
      </c>
      <c r="J448" s="23">
        <v>4</v>
      </c>
      <c r="K448" s="23"/>
      <c r="L448" s="23"/>
      <c r="M448" s="23"/>
      <c r="N448" s="24"/>
      <c r="O448" s="23">
        <v>350</v>
      </c>
      <c r="R448">
        <f t="shared" si="6"/>
        <v>0.8</v>
      </c>
    </row>
    <row r="449" spans="1:18" ht="15.75" thickBot="1">
      <c r="A449" s="35" t="s">
        <v>4995</v>
      </c>
      <c r="B449" s="23" t="s">
        <v>627</v>
      </c>
      <c r="C449" s="23">
        <v>4</v>
      </c>
      <c r="D449" s="23">
        <v>1</v>
      </c>
      <c r="E449" s="23">
        <v>3</v>
      </c>
      <c r="F449" s="23">
        <v>1</v>
      </c>
      <c r="G449" s="23">
        <v>1</v>
      </c>
      <c r="H449" s="23" t="s">
        <v>22</v>
      </c>
      <c r="I449" s="23">
        <v>1</v>
      </c>
      <c r="J449" s="23">
        <v>4</v>
      </c>
      <c r="K449" s="23"/>
      <c r="L449" s="23"/>
      <c r="M449" s="23"/>
      <c r="N449" s="24"/>
      <c r="O449" s="23">
        <v>563</v>
      </c>
      <c r="R449">
        <f t="shared" si="6"/>
        <v>1</v>
      </c>
    </row>
    <row r="450" spans="1:18" ht="15.75" thickBot="1">
      <c r="A450" s="35" t="s">
        <v>4996</v>
      </c>
      <c r="B450" s="23" t="s">
        <v>796</v>
      </c>
      <c r="C450" s="23">
        <v>6</v>
      </c>
      <c r="D450" s="23">
        <v>3</v>
      </c>
      <c r="E450" s="23">
        <v>3</v>
      </c>
      <c r="F450" s="23">
        <v>1</v>
      </c>
      <c r="G450" s="23">
        <v>2</v>
      </c>
      <c r="H450" s="23" t="s">
        <v>22</v>
      </c>
      <c r="I450" s="23" t="s">
        <v>22</v>
      </c>
      <c r="J450" s="23">
        <v>5</v>
      </c>
      <c r="K450" s="23"/>
      <c r="L450" s="23"/>
      <c r="M450" s="23"/>
      <c r="N450" s="24"/>
      <c r="O450" s="23">
        <v>106</v>
      </c>
      <c r="R450">
        <f t="shared" ref="R450:R513" si="7">J450/C450</f>
        <v>0.83333333333333337</v>
      </c>
    </row>
    <row r="451" spans="1:18" ht="15.75" thickBot="1">
      <c r="A451" s="35" t="s">
        <v>4997</v>
      </c>
      <c r="B451" s="23" t="s">
        <v>797</v>
      </c>
      <c r="C451" s="23">
        <v>6</v>
      </c>
      <c r="D451" s="27" t="s">
        <v>798</v>
      </c>
      <c r="E451" s="23">
        <v>5</v>
      </c>
      <c r="F451" s="23">
        <v>2</v>
      </c>
      <c r="G451" s="23">
        <v>1</v>
      </c>
      <c r="H451" s="23" t="s">
        <v>22</v>
      </c>
      <c r="I451" s="23" t="s">
        <v>22</v>
      </c>
      <c r="J451" s="23">
        <v>11</v>
      </c>
      <c r="K451" s="23"/>
      <c r="L451" s="23"/>
      <c r="M451" s="23"/>
      <c r="N451" s="24"/>
      <c r="O451" s="23">
        <v>409</v>
      </c>
      <c r="R451">
        <f t="shared" si="7"/>
        <v>1.8333333333333333</v>
      </c>
    </row>
    <row r="452" spans="1:18" ht="15.75" thickBot="1">
      <c r="A452" s="35" t="s">
        <v>4998</v>
      </c>
      <c r="B452" s="23" t="s">
        <v>799</v>
      </c>
      <c r="C452" s="23">
        <v>3</v>
      </c>
      <c r="D452" s="23" t="s">
        <v>22</v>
      </c>
      <c r="E452" s="23">
        <v>3</v>
      </c>
      <c r="F452" s="23">
        <v>1</v>
      </c>
      <c r="G452" s="23">
        <v>1</v>
      </c>
      <c r="H452" s="23" t="s">
        <v>22</v>
      </c>
      <c r="I452" s="23" t="s">
        <v>22</v>
      </c>
      <c r="J452" s="23">
        <v>6</v>
      </c>
      <c r="K452" s="23"/>
      <c r="L452" s="23"/>
      <c r="M452" s="23"/>
      <c r="N452" s="24"/>
      <c r="O452" s="23" t="s">
        <v>22</v>
      </c>
      <c r="R452">
        <f t="shared" si="7"/>
        <v>2</v>
      </c>
    </row>
    <row r="453" spans="1:18" ht="15.75" thickBot="1">
      <c r="A453" s="35" t="s">
        <v>4999</v>
      </c>
      <c r="B453" s="23" t="s">
        <v>800</v>
      </c>
      <c r="C453" s="23">
        <v>6</v>
      </c>
      <c r="D453" s="23">
        <v>2</v>
      </c>
      <c r="E453" s="23">
        <v>4</v>
      </c>
      <c r="F453" s="23">
        <v>1</v>
      </c>
      <c r="G453" s="23">
        <v>1</v>
      </c>
      <c r="H453" s="23" t="s">
        <v>22</v>
      </c>
      <c r="I453" s="23">
        <v>1</v>
      </c>
      <c r="J453" s="23">
        <v>8</v>
      </c>
      <c r="K453" s="23"/>
      <c r="L453" s="23"/>
      <c r="M453" s="23"/>
      <c r="N453" s="24"/>
      <c r="O453" s="23">
        <v>518</v>
      </c>
      <c r="R453">
        <f t="shared" si="7"/>
        <v>1.3333333333333333</v>
      </c>
    </row>
    <row r="454" spans="1:18" ht="15.75" thickBot="1">
      <c r="A454" s="35" t="s">
        <v>5000</v>
      </c>
      <c r="B454" s="23" t="s">
        <v>627</v>
      </c>
      <c r="C454" s="23">
        <v>9</v>
      </c>
      <c r="D454" s="23">
        <v>4</v>
      </c>
      <c r="E454" s="23">
        <v>5</v>
      </c>
      <c r="F454" s="23">
        <v>2</v>
      </c>
      <c r="G454" s="23">
        <v>2</v>
      </c>
      <c r="H454" s="23" t="s">
        <v>22</v>
      </c>
      <c r="I454" s="23">
        <v>2</v>
      </c>
      <c r="J454" s="23">
        <v>12</v>
      </c>
      <c r="K454" s="23"/>
      <c r="L454" s="23"/>
      <c r="M454" s="23"/>
      <c r="N454" s="24"/>
      <c r="O454" s="23">
        <v>555</v>
      </c>
      <c r="R454">
        <f t="shared" si="7"/>
        <v>1.3333333333333333</v>
      </c>
    </row>
    <row r="455" spans="1:18" ht="15.75" thickBot="1">
      <c r="A455" s="35" t="s">
        <v>5001</v>
      </c>
      <c r="B455" s="23" t="s">
        <v>636</v>
      </c>
      <c r="C455" s="23">
        <v>4</v>
      </c>
      <c r="D455" s="23">
        <v>2</v>
      </c>
      <c r="E455" s="23">
        <v>2</v>
      </c>
      <c r="F455" s="23">
        <v>1</v>
      </c>
      <c r="G455" s="23">
        <v>1</v>
      </c>
      <c r="H455" s="23" t="s">
        <v>22</v>
      </c>
      <c r="I455" s="23" t="s">
        <v>22</v>
      </c>
      <c r="J455" s="23" t="s">
        <v>22</v>
      </c>
      <c r="K455" s="23"/>
      <c r="L455" s="23"/>
      <c r="M455" s="23"/>
      <c r="N455" s="24"/>
      <c r="O455" s="23" t="s">
        <v>22</v>
      </c>
      <c r="R455" t="e">
        <f t="shared" si="7"/>
        <v>#VALUE!</v>
      </c>
    </row>
    <row r="456" spans="1:18" ht="15.75" thickBot="1">
      <c r="A456" s="35" t="s">
        <v>5002</v>
      </c>
      <c r="B456" s="23" t="s">
        <v>636</v>
      </c>
      <c r="C456" s="23">
        <v>4</v>
      </c>
      <c r="D456" s="23">
        <v>1</v>
      </c>
      <c r="E456" s="23">
        <v>3</v>
      </c>
      <c r="F456" s="23">
        <v>2</v>
      </c>
      <c r="G456" s="23">
        <v>1</v>
      </c>
      <c r="H456" s="23" t="s">
        <v>22</v>
      </c>
      <c r="I456" s="23" t="s">
        <v>22</v>
      </c>
      <c r="J456" s="23">
        <v>6</v>
      </c>
      <c r="K456" s="23"/>
      <c r="L456" s="23"/>
      <c r="M456" s="23"/>
      <c r="N456" s="24"/>
      <c r="O456" s="23">
        <v>319</v>
      </c>
      <c r="R456">
        <f t="shared" si="7"/>
        <v>1.5</v>
      </c>
    </row>
    <row r="457" spans="1:18" ht="15.75" thickBot="1">
      <c r="A457" s="35" t="s">
        <v>5003</v>
      </c>
      <c r="B457" s="23" t="s">
        <v>801</v>
      </c>
      <c r="C457" s="23">
        <v>11</v>
      </c>
      <c r="D457" s="23">
        <v>3</v>
      </c>
      <c r="E457" s="23">
        <v>8</v>
      </c>
      <c r="F457" s="23">
        <v>2</v>
      </c>
      <c r="G457" s="23">
        <v>2</v>
      </c>
      <c r="H457" s="23" t="s">
        <v>22</v>
      </c>
      <c r="I457" s="23">
        <v>4</v>
      </c>
      <c r="J457" s="23">
        <v>15</v>
      </c>
      <c r="K457" s="23"/>
      <c r="L457" s="23"/>
      <c r="M457" s="23"/>
      <c r="N457" s="24"/>
      <c r="O457" s="23">
        <v>559</v>
      </c>
      <c r="R457">
        <f t="shared" si="7"/>
        <v>1.3636363636363635</v>
      </c>
    </row>
    <row r="458" spans="1:18" ht="15.75" thickBot="1">
      <c r="A458" s="35" t="s">
        <v>5004</v>
      </c>
      <c r="B458" s="23" t="s">
        <v>627</v>
      </c>
      <c r="C458" s="23">
        <v>6</v>
      </c>
      <c r="D458" s="23">
        <v>1</v>
      </c>
      <c r="E458" s="23">
        <v>5</v>
      </c>
      <c r="F458" s="23">
        <v>1</v>
      </c>
      <c r="G458" s="23" t="s">
        <v>22</v>
      </c>
      <c r="H458" s="23" t="s">
        <v>22</v>
      </c>
      <c r="I458" s="23" t="s">
        <v>22</v>
      </c>
      <c r="J458" s="23">
        <v>8</v>
      </c>
      <c r="K458" s="23"/>
      <c r="L458" s="23"/>
      <c r="M458" s="23"/>
      <c r="N458" s="24"/>
      <c r="O458" s="23">
        <v>413</v>
      </c>
      <c r="R458">
        <f t="shared" si="7"/>
        <v>1.3333333333333333</v>
      </c>
    </row>
    <row r="459" spans="1:18" ht="15.75" thickBot="1">
      <c r="A459" s="35" t="s">
        <v>5005</v>
      </c>
      <c r="B459" s="23" t="s">
        <v>802</v>
      </c>
      <c r="C459" s="23">
        <v>2</v>
      </c>
      <c r="D459" s="23">
        <v>2</v>
      </c>
      <c r="E459" s="23" t="s">
        <v>22</v>
      </c>
      <c r="F459" s="23">
        <v>1</v>
      </c>
      <c r="G459" s="23">
        <v>1</v>
      </c>
      <c r="H459" s="23" t="s">
        <v>22</v>
      </c>
      <c r="I459" s="23" t="s">
        <v>22</v>
      </c>
      <c r="J459" s="25">
        <v>1.5</v>
      </c>
      <c r="K459" s="23"/>
      <c r="L459" s="23"/>
      <c r="M459" s="23"/>
      <c r="N459" s="24"/>
      <c r="O459" s="23">
        <v>70</v>
      </c>
      <c r="R459">
        <f t="shared" si="7"/>
        <v>0.75</v>
      </c>
    </row>
    <row r="460" spans="1:18" ht="15.75" thickBot="1">
      <c r="A460" s="35" t="s">
        <v>5006</v>
      </c>
      <c r="B460" s="23" t="s">
        <v>803</v>
      </c>
      <c r="C460" s="23">
        <v>3</v>
      </c>
      <c r="D460" s="23">
        <v>2</v>
      </c>
      <c r="E460" s="23">
        <v>1</v>
      </c>
      <c r="F460" s="23" t="s">
        <v>22</v>
      </c>
      <c r="G460" s="23" t="s">
        <v>22</v>
      </c>
      <c r="H460" s="23" t="s">
        <v>22</v>
      </c>
      <c r="I460" s="23" t="s">
        <v>22</v>
      </c>
      <c r="J460" s="23">
        <v>4</v>
      </c>
      <c r="K460" s="23"/>
      <c r="L460" s="23"/>
      <c r="M460" s="23"/>
      <c r="N460" s="24"/>
      <c r="O460" s="23" t="s">
        <v>22</v>
      </c>
      <c r="R460">
        <f t="shared" si="7"/>
        <v>1.3333333333333333</v>
      </c>
    </row>
    <row r="461" spans="1:18" ht="15.75" thickBot="1">
      <c r="A461" s="35" t="s">
        <v>5007</v>
      </c>
      <c r="B461" s="23" t="s">
        <v>631</v>
      </c>
      <c r="C461" s="23">
        <v>2</v>
      </c>
      <c r="D461" s="23" t="s">
        <v>22</v>
      </c>
      <c r="E461" s="23">
        <v>2</v>
      </c>
      <c r="F461" s="23">
        <v>1</v>
      </c>
      <c r="G461" s="23">
        <v>1</v>
      </c>
      <c r="H461" s="23" t="s">
        <v>22</v>
      </c>
      <c r="I461" s="23" t="s">
        <v>22</v>
      </c>
      <c r="J461" s="23">
        <v>2</v>
      </c>
      <c r="K461" s="23"/>
      <c r="L461" s="23"/>
      <c r="M461" s="23"/>
      <c r="N461" s="24"/>
      <c r="O461" s="23" t="s">
        <v>22</v>
      </c>
      <c r="R461">
        <f t="shared" si="7"/>
        <v>1</v>
      </c>
    </row>
    <row r="462" spans="1:18" ht="15.75" thickBot="1">
      <c r="A462" s="35" t="s">
        <v>5008</v>
      </c>
      <c r="B462" s="23" t="s">
        <v>627</v>
      </c>
      <c r="C462" s="23">
        <v>9</v>
      </c>
      <c r="D462" s="23">
        <v>3</v>
      </c>
      <c r="E462" s="23">
        <v>6</v>
      </c>
      <c r="F462" s="23">
        <v>2</v>
      </c>
      <c r="G462" s="23">
        <v>1</v>
      </c>
      <c r="H462" s="23" t="s">
        <v>22</v>
      </c>
      <c r="I462" s="23">
        <v>2</v>
      </c>
      <c r="J462" s="23">
        <v>12</v>
      </c>
      <c r="K462" s="23"/>
      <c r="L462" s="23"/>
      <c r="M462" s="23"/>
      <c r="N462" s="24"/>
      <c r="O462" s="23">
        <v>543</v>
      </c>
      <c r="R462">
        <f t="shared" si="7"/>
        <v>1.3333333333333333</v>
      </c>
    </row>
    <row r="463" spans="1:18" ht="15.75" thickBot="1">
      <c r="A463" s="35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4"/>
      <c r="O463" s="23"/>
      <c r="R463" t="e">
        <f t="shared" si="7"/>
        <v>#DIV/0!</v>
      </c>
    </row>
    <row r="464" spans="1:18" ht="15.75" thickBot="1">
      <c r="A464" s="35" t="s">
        <v>5009</v>
      </c>
      <c r="B464" s="23" t="s">
        <v>804</v>
      </c>
      <c r="C464" s="23">
        <v>6</v>
      </c>
      <c r="D464" s="23">
        <v>1</v>
      </c>
      <c r="E464" s="23">
        <v>5</v>
      </c>
      <c r="F464" s="23" t="s">
        <v>22</v>
      </c>
      <c r="G464" s="23">
        <v>1</v>
      </c>
      <c r="H464" s="23" t="s">
        <v>22</v>
      </c>
      <c r="I464" s="23" t="s">
        <v>22</v>
      </c>
      <c r="J464" s="23">
        <v>12</v>
      </c>
      <c r="K464" s="23"/>
      <c r="L464" s="23"/>
      <c r="M464" s="23"/>
      <c r="N464" s="24"/>
      <c r="O464" s="23" t="s">
        <v>22</v>
      </c>
      <c r="R464">
        <f t="shared" si="7"/>
        <v>2</v>
      </c>
    </row>
    <row r="465" spans="1:18" ht="15.75" thickBot="1">
      <c r="A465" s="35" t="s">
        <v>5010</v>
      </c>
      <c r="B465" s="23" t="s">
        <v>631</v>
      </c>
      <c r="C465" s="23">
        <v>4</v>
      </c>
      <c r="D465" s="23">
        <v>1</v>
      </c>
      <c r="E465" s="23">
        <v>3</v>
      </c>
      <c r="F465" s="23">
        <v>1</v>
      </c>
      <c r="G465" s="23">
        <v>1</v>
      </c>
      <c r="H465" s="23" t="s">
        <v>22</v>
      </c>
      <c r="I465" s="23" t="s">
        <v>22</v>
      </c>
      <c r="J465" s="25">
        <v>4.5</v>
      </c>
      <c r="K465" s="23"/>
      <c r="L465" s="23"/>
      <c r="M465" s="23"/>
      <c r="N465" s="24"/>
      <c r="O465" s="23">
        <v>337</v>
      </c>
      <c r="R465">
        <f t="shared" si="7"/>
        <v>1.125</v>
      </c>
    </row>
    <row r="466" spans="1:18" ht="15.75" thickBot="1">
      <c r="A466" s="35" t="s">
        <v>5011</v>
      </c>
      <c r="B466" s="23" t="s">
        <v>805</v>
      </c>
      <c r="C466" s="23">
        <v>2</v>
      </c>
      <c r="D466" s="23">
        <v>1</v>
      </c>
      <c r="E466" s="23">
        <v>1</v>
      </c>
      <c r="F466" s="23">
        <v>1</v>
      </c>
      <c r="G466" s="23" t="s">
        <v>22</v>
      </c>
      <c r="H466" s="23" t="s">
        <v>22</v>
      </c>
      <c r="I466" s="23" t="s">
        <v>22</v>
      </c>
      <c r="J466" s="23">
        <v>4</v>
      </c>
      <c r="K466" s="23"/>
      <c r="L466" s="23"/>
      <c r="M466" s="23"/>
      <c r="N466" s="24"/>
      <c r="O466" s="23" t="s">
        <v>22</v>
      </c>
      <c r="R466">
        <f t="shared" si="7"/>
        <v>2</v>
      </c>
    </row>
    <row r="467" spans="1:18" ht="15.75" thickBot="1">
      <c r="A467" s="35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4"/>
      <c r="O467" s="23"/>
      <c r="R467" t="e">
        <f t="shared" si="7"/>
        <v>#DIV/0!</v>
      </c>
    </row>
    <row r="468" spans="1:18" ht="15.75" thickBot="1">
      <c r="A468" s="35" t="s">
        <v>438</v>
      </c>
      <c r="B468" s="23" t="s">
        <v>806</v>
      </c>
      <c r="C468" s="23">
        <v>3</v>
      </c>
      <c r="D468" s="23">
        <v>1</v>
      </c>
      <c r="E468" s="23">
        <v>2</v>
      </c>
      <c r="F468" s="23" t="s">
        <v>22</v>
      </c>
      <c r="G468" s="23" t="s">
        <v>22</v>
      </c>
      <c r="H468" s="23" t="s">
        <v>22</v>
      </c>
      <c r="I468" s="23" t="s">
        <v>22</v>
      </c>
      <c r="J468" s="156" t="s">
        <v>51</v>
      </c>
      <c r="K468" s="23"/>
      <c r="L468" s="23"/>
      <c r="M468" s="23"/>
      <c r="N468" s="24"/>
      <c r="O468" s="23" t="s">
        <v>22</v>
      </c>
      <c r="R468" t="e">
        <f t="shared" si="7"/>
        <v>#VALUE!</v>
      </c>
    </row>
    <row r="469" spans="1:18" ht="15.75" thickBot="1">
      <c r="A469" s="35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4"/>
      <c r="O469" s="23"/>
      <c r="R469" t="e">
        <f t="shared" si="7"/>
        <v>#DIV/0!</v>
      </c>
    </row>
    <row r="470" spans="1:18" ht="15.75" thickBot="1">
      <c r="A470" s="35" t="s">
        <v>439</v>
      </c>
      <c r="B470" s="23" t="s">
        <v>670</v>
      </c>
      <c r="C470" s="23">
        <v>4</v>
      </c>
      <c r="D470" s="23" t="s">
        <v>22</v>
      </c>
      <c r="E470" s="23">
        <v>4</v>
      </c>
      <c r="F470" s="23" t="s">
        <v>22</v>
      </c>
      <c r="G470" s="23" t="s">
        <v>22</v>
      </c>
      <c r="H470" s="23" t="s">
        <v>22</v>
      </c>
      <c r="I470" s="23" t="s">
        <v>633</v>
      </c>
      <c r="J470" s="23" t="s">
        <v>633</v>
      </c>
      <c r="K470" s="23"/>
      <c r="L470" s="23"/>
      <c r="M470" s="23"/>
      <c r="N470" s="24"/>
      <c r="O470" s="23" t="s">
        <v>22</v>
      </c>
      <c r="R470" t="e">
        <f t="shared" si="7"/>
        <v>#VALUE!</v>
      </c>
    </row>
    <row r="471" spans="1:18" ht="15.75" thickBot="1">
      <c r="A471" s="35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4"/>
      <c r="O471" s="23"/>
      <c r="R471" t="e">
        <f t="shared" si="7"/>
        <v>#DIV/0!</v>
      </c>
    </row>
    <row r="472" spans="1:18" ht="15.75" thickBot="1">
      <c r="A472" s="35" t="s">
        <v>440</v>
      </c>
      <c r="B472" s="23" t="s">
        <v>630</v>
      </c>
      <c r="C472" s="23">
        <v>3</v>
      </c>
      <c r="D472" s="23">
        <v>2</v>
      </c>
      <c r="E472" s="23">
        <v>1</v>
      </c>
      <c r="F472" s="23">
        <v>1</v>
      </c>
      <c r="G472" s="23">
        <v>1</v>
      </c>
      <c r="H472" s="23" t="s">
        <v>22</v>
      </c>
      <c r="I472" s="23" t="s">
        <v>22</v>
      </c>
      <c r="J472" s="23">
        <v>6</v>
      </c>
      <c r="K472" s="23"/>
      <c r="L472" s="23"/>
      <c r="M472" s="23"/>
      <c r="N472" s="24"/>
      <c r="O472" s="23">
        <v>487</v>
      </c>
      <c r="R472">
        <f t="shared" si="7"/>
        <v>2</v>
      </c>
    </row>
    <row r="473" spans="1:18" ht="15.75" thickBot="1">
      <c r="A473" s="35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4"/>
      <c r="O473" s="23"/>
      <c r="R473" t="e">
        <f t="shared" si="7"/>
        <v>#DIV/0!</v>
      </c>
    </row>
    <row r="474" spans="1:18" ht="15.75" thickBot="1">
      <c r="A474" s="35" t="s">
        <v>441</v>
      </c>
      <c r="B474" s="23" t="s">
        <v>629</v>
      </c>
      <c r="C474" s="23">
        <v>4</v>
      </c>
      <c r="D474" s="23">
        <v>1</v>
      </c>
      <c r="E474" s="23">
        <v>3</v>
      </c>
      <c r="F474" s="23">
        <v>2</v>
      </c>
      <c r="G474" s="23">
        <v>2</v>
      </c>
      <c r="H474" s="23" t="s">
        <v>22</v>
      </c>
      <c r="I474" s="23" t="s">
        <v>22</v>
      </c>
      <c r="J474" s="23" t="s">
        <v>22</v>
      </c>
      <c r="K474" s="23"/>
      <c r="L474" s="23"/>
      <c r="M474" s="23"/>
      <c r="N474" s="24"/>
      <c r="O474" s="23">
        <v>882</v>
      </c>
      <c r="R474" t="e">
        <f t="shared" si="7"/>
        <v>#VALUE!</v>
      </c>
    </row>
    <row r="475" spans="1:18" ht="15.75" thickBot="1">
      <c r="A475" s="35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4"/>
      <c r="O475" s="23"/>
      <c r="R475" t="e">
        <f t="shared" si="7"/>
        <v>#DIV/0!</v>
      </c>
    </row>
    <row r="476" spans="1:18" ht="15.75" thickBot="1">
      <c r="A476" s="35" t="s">
        <v>442</v>
      </c>
      <c r="B476" s="23" t="s">
        <v>807</v>
      </c>
      <c r="C476" s="23">
        <v>1</v>
      </c>
      <c r="D476" s="23" t="s">
        <v>22</v>
      </c>
      <c r="E476" s="23">
        <v>1</v>
      </c>
      <c r="F476" s="23" t="s">
        <v>22</v>
      </c>
      <c r="G476" s="23">
        <v>1</v>
      </c>
      <c r="H476" s="23" t="s">
        <v>22</v>
      </c>
      <c r="I476" s="23" t="s">
        <v>22</v>
      </c>
      <c r="J476" s="23" t="s">
        <v>22</v>
      </c>
      <c r="K476" s="23"/>
      <c r="L476" s="23"/>
      <c r="M476" s="23"/>
      <c r="N476" s="24"/>
      <c r="O476" s="23" t="s">
        <v>22</v>
      </c>
      <c r="R476" t="e">
        <f t="shared" si="7"/>
        <v>#VALUE!</v>
      </c>
    </row>
    <row r="477" spans="1:18" ht="15.75" thickBot="1">
      <c r="A477" s="35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4"/>
      <c r="O477" s="23"/>
      <c r="R477" t="e">
        <f t="shared" si="7"/>
        <v>#DIV/0!</v>
      </c>
    </row>
    <row r="478" spans="1:18" ht="15.75" thickBot="1">
      <c r="A478" s="35" t="s">
        <v>443</v>
      </c>
      <c r="B478" s="23" t="s">
        <v>624</v>
      </c>
      <c r="C478" s="23">
        <v>4</v>
      </c>
      <c r="D478" s="23">
        <v>3</v>
      </c>
      <c r="E478" s="23">
        <v>1</v>
      </c>
      <c r="F478" s="23">
        <v>3</v>
      </c>
      <c r="G478" s="23">
        <v>1</v>
      </c>
      <c r="H478" s="23" t="s">
        <v>22</v>
      </c>
      <c r="I478" s="23">
        <v>1</v>
      </c>
      <c r="J478" s="23" t="s">
        <v>808</v>
      </c>
      <c r="K478" s="23"/>
      <c r="L478" s="23"/>
      <c r="M478" s="23"/>
      <c r="N478" s="24"/>
      <c r="O478" s="23">
        <v>575</v>
      </c>
      <c r="R478" t="e">
        <f t="shared" si="7"/>
        <v>#VALUE!</v>
      </c>
    </row>
    <row r="479" spans="1:18" ht="15.75" thickBot="1">
      <c r="A479" s="35" t="s">
        <v>444</v>
      </c>
      <c r="B479" s="23" t="s">
        <v>809</v>
      </c>
      <c r="C479" s="23">
        <v>5</v>
      </c>
      <c r="D479" s="23">
        <v>2</v>
      </c>
      <c r="E479" s="23">
        <v>3</v>
      </c>
      <c r="F479" s="23" t="s">
        <v>22</v>
      </c>
      <c r="G479" s="23">
        <v>1</v>
      </c>
      <c r="H479" s="23" t="s">
        <v>22</v>
      </c>
      <c r="I479" s="23" t="s">
        <v>22</v>
      </c>
      <c r="J479" s="23">
        <v>4</v>
      </c>
      <c r="K479" s="23"/>
      <c r="L479" s="23"/>
      <c r="M479" s="23"/>
      <c r="N479" s="24"/>
      <c r="O479" s="23" t="s">
        <v>22</v>
      </c>
      <c r="R479">
        <f t="shared" si="7"/>
        <v>0.8</v>
      </c>
    </row>
    <row r="480" spans="1:18" ht="15.75" thickBot="1">
      <c r="A480" s="35" t="s">
        <v>445</v>
      </c>
      <c r="B480" s="23" t="s">
        <v>624</v>
      </c>
      <c r="C480" s="23">
        <v>7</v>
      </c>
      <c r="D480" s="23">
        <v>2</v>
      </c>
      <c r="E480" s="23">
        <v>5</v>
      </c>
      <c r="F480" s="23">
        <v>1</v>
      </c>
      <c r="G480" s="23">
        <v>1</v>
      </c>
      <c r="H480" s="23" t="s">
        <v>22</v>
      </c>
      <c r="I480" s="23" t="s">
        <v>22</v>
      </c>
      <c r="J480" s="23">
        <v>7</v>
      </c>
      <c r="K480" s="23"/>
      <c r="L480" s="23"/>
      <c r="M480" s="23"/>
      <c r="N480" s="24"/>
      <c r="O480" s="23">
        <v>582</v>
      </c>
      <c r="R480">
        <f t="shared" si="7"/>
        <v>1</v>
      </c>
    </row>
    <row r="481" spans="1:18" ht="15.75" thickBot="1">
      <c r="A481" s="35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4"/>
      <c r="O481" s="23"/>
      <c r="R481" t="e">
        <f t="shared" si="7"/>
        <v>#DIV/0!</v>
      </c>
    </row>
    <row r="482" spans="1:18" ht="15.75" thickBot="1">
      <c r="A482" s="35" t="s">
        <v>446</v>
      </c>
      <c r="B482" s="23" t="s">
        <v>631</v>
      </c>
      <c r="C482" s="23">
        <v>3</v>
      </c>
      <c r="D482" s="23">
        <v>1</v>
      </c>
      <c r="E482" s="23">
        <v>2</v>
      </c>
      <c r="F482" s="23" t="s">
        <v>22</v>
      </c>
      <c r="G482" s="23">
        <v>1</v>
      </c>
      <c r="H482" s="23" t="s">
        <v>22</v>
      </c>
      <c r="I482" s="23" t="s">
        <v>22</v>
      </c>
      <c r="J482" s="23">
        <v>2</v>
      </c>
      <c r="K482" s="23"/>
      <c r="L482" s="23"/>
      <c r="M482" s="23"/>
      <c r="N482" s="24"/>
      <c r="O482" s="23" t="s">
        <v>22</v>
      </c>
      <c r="R482">
        <f t="shared" si="7"/>
        <v>0.66666666666666663</v>
      </c>
    </row>
    <row r="483" spans="1:18" ht="15.75" thickBot="1">
      <c r="A483" s="35" t="s">
        <v>447</v>
      </c>
      <c r="B483" s="23" t="s">
        <v>629</v>
      </c>
      <c r="C483" s="23">
        <v>2</v>
      </c>
      <c r="D483" s="23">
        <v>1</v>
      </c>
      <c r="E483" s="23">
        <v>1</v>
      </c>
      <c r="F483" s="23" t="s">
        <v>22</v>
      </c>
      <c r="G483" s="23">
        <v>1</v>
      </c>
      <c r="H483" s="23" t="s">
        <v>22</v>
      </c>
      <c r="I483" s="23" t="s">
        <v>22</v>
      </c>
      <c r="J483" s="23">
        <v>4</v>
      </c>
      <c r="K483" s="23"/>
      <c r="L483" s="23"/>
      <c r="M483" s="23"/>
      <c r="N483" s="24"/>
      <c r="O483" s="23" t="s">
        <v>22</v>
      </c>
      <c r="R483">
        <f t="shared" si="7"/>
        <v>2</v>
      </c>
    </row>
    <row r="484" spans="1:18" ht="15.75" thickBot="1">
      <c r="A484" s="35" t="s">
        <v>448</v>
      </c>
      <c r="B484" s="23" t="s">
        <v>810</v>
      </c>
      <c r="C484" s="23">
        <v>4</v>
      </c>
      <c r="D484" s="23">
        <v>2</v>
      </c>
      <c r="E484" s="23">
        <v>2</v>
      </c>
      <c r="F484" s="23" t="s">
        <v>22</v>
      </c>
      <c r="G484" s="23">
        <v>1</v>
      </c>
      <c r="H484" s="23" t="s">
        <v>22</v>
      </c>
      <c r="I484" s="23" t="s">
        <v>22</v>
      </c>
      <c r="J484" s="23">
        <v>4</v>
      </c>
      <c r="K484" s="23"/>
      <c r="L484" s="23"/>
      <c r="M484" s="23"/>
      <c r="N484" s="24"/>
      <c r="O484" s="23" t="s">
        <v>22</v>
      </c>
      <c r="R484">
        <f t="shared" si="7"/>
        <v>1</v>
      </c>
    </row>
    <row r="485" spans="1:18" ht="15.75" thickBot="1">
      <c r="A485" s="35" t="s">
        <v>449</v>
      </c>
      <c r="B485" s="23" t="s">
        <v>670</v>
      </c>
      <c r="C485" s="23">
        <v>6</v>
      </c>
      <c r="D485" s="23">
        <v>2</v>
      </c>
      <c r="E485" s="23">
        <v>4</v>
      </c>
      <c r="F485" s="23" t="s">
        <v>22</v>
      </c>
      <c r="G485" s="23">
        <v>1</v>
      </c>
      <c r="H485" s="23" t="s">
        <v>22</v>
      </c>
      <c r="I485" s="23">
        <v>1</v>
      </c>
      <c r="J485" s="23">
        <v>5</v>
      </c>
      <c r="K485" s="23"/>
      <c r="L485" s="23"/>
      <c r="M485" s="23"/>
      <c r="N485" s="24"/>
      <c r="O485" s="23" t="s">
        <v>22</v>
      </c>
      <c r="R485">
        <f t="shared" si="7"/>
        <v>0.83333333333333337</v>
      </c>
    </row>
    <row r="486" spans="1:18" ht="15.75" thickBot="1">
      <c r="A486" s="35" t="s">
        <v>450</v>
      </c>
      <c r="B486" s="23" t="s">
        <v>624</v>
      </c>
      <c r="C486" s="23">
        <v>4</v>
      </c>
      <c r="D486" s="23">
        <v>4</v>
      </c>
      <c r="E486" s="23" t="s">
        <v>22</v>
      </c>
      <c r="F486" s="23">
        <v>1</v>
      </c>
      <c r="G486" s="23">
        <v>1</v>
      </c>
      <c r="H486" s="23" t="s">
        <v>22</v>
      </c>
      <c r="I486" s="23" t="s">
        <v>22</v>
      </c>
      <c r="J486" s="23">
        <v>9</v>
      </c>
      <c r="K486" s="23"/>
      <c r="L486" s="23"/>
      <c r="M486" s="23"/>
      <c r="N486" s="24"/>
      <c r="O486" s="23">
        <v>578</v>
      </c>
      <c r="R486">
        <f t="shared" si="7"/>
        <v>2.25</v>
      </c>
    </row>
    <row r="487" spans="1:18" ht="15.75" thickBot="1">
      <c r="A487" s="35" t="s">
        <v>451</v>
      </c>
      <c r="B487" s="23" t="s">
        <v>811</v>
      </c>
      <c r="C487" s="23">
        <v>3</v>
      </c>
      <c r="D487" s="23">
        <v>1</v>
      </c>
      <c r="E487" s="23">
        <v>2</v>
      </c>
      <c r="F487" s="23">
        <v>1</v>
      </c>
      <c r="G487" s="23">
        <v>1</v>
      </c>
      <c r="H487" s="23" t="s">
        <v>22</v>
      </c>
      <c r="I487" s="23" t="s">
        <v>22</v>
      </c>
      <c r="J487" s="23">
        <v>4</v>
      </c>
      <c r="K487" s="23"/>
      <c r="L487" s="23"/>
      <c r="M487" s="23"/>
      <c r="N487" s="24"/>
      <c r="O487" s="23">
        <v>810</v>
      </c>
      <c r="R487">
        <f t="shared" si="7"/>
        <v>1.3333333333333333</v>
      </c>
    </row>
    <row r="488" spans="1:18" ht="15.75" thickBot="1">
      <c r="A488" s="35" t="s">
        <v>452</v>
      </c>
      <c r="B488" s="23" t="s">
        <v>812</v>
      </c>
      <c r="C488" s="23">
        <v>2</v>
      </c>
      <c r="D488" s="23">
        <v>2</v>
      </c>
      <c r="E488" s="23" t="s">
        <v>22</v>
      </c>
      <c r="F488" s="23" t="s">
        <v>22</v>
      </c>
      <c r="G488" s="23">
        <v>1</v>
      </c>
      <c r="H488" s="23" t="s">
        <v>22</v>
      </c>
      <c r="I488" s="23" t="s">
        <v>22</v>
      </c>
      <c r="J488" s="23">
        <v>4</v>
      </c>
      <c r="K488" s="23"/>
      <c r="L488" s="23"/>
      <c r="M488" s="23"/>
      <c r="N488" s="24"/>
      <c r="O488" s="23">
        <v>813</v>
      </c>
      <c r="R488">
        <f t="shared" si="7"/>
        <v>2</v>
      </c>
    </row>
    <row r="489" spans="1:18" ht="15.75" thickBot="1">
      <c r="A489" s="35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4"/>
      <c r="O489" s="23"/>
      <c r="R489" t="e">
        <f t="shared" si="7"/>
        <v>#DIV/0!</v>
      </c>
    </row>
    <row r="490" spans="1:18" ht="15.75" thickBot="1">
      <c r="A490" s="35" t="s">
        <v>453</v>
      </c>
      <c r="B490" s="23" t="s">
        <v>624</v>
      </c>
      <c r="C490" s="23">
        <v>2</v>
      </c>
      <c r="D490" s="23">
        <v>2</v>
      </c>
      <c r="E490" s="23" t="s">
        <v>22</v>
      </c>
      <c r="F490" s="23">
        <v>1</v>
      </c>
      <c r="G490" s="23">
        <v>1</v>
      </c>
      <c r="H490" s="23" t="s">
        <v>22</v>
      </c>
      <c r="I490" s="23" t="s">
        <v>22</v>
      </c>
      <c r="J490" s="23" t="s">
        <v>639</v>
      </c>
      <c r="K490" s="23"/>
      <c r="L490" s="23"/>
      <c r="M490" s="23"/>
      <c r="N490" s="24"/>
      <c r="O490" s="23">
        <v>599</v>
      </c>
      <c r="R490" t="e">
        <f t="shared" si="7"/>
        <v>#VALUE!</v>
      </c>
    </row>
    <row r="491" spans="1:18" ht="15.75" thickBot="1">
      <c r="A491" s="35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4"/>
      <c r="O491" s="23"/>
      <c r="R491" t="e">
        <f t="shared" si="7"/>
        <v>#DIV/0!</v>
      </c>
    </row>
    <row r="492" spans="1:18" ht="15.75" thickBot="1">
      <c r="A492" s="35" t="s">
        <v>454</v>
      </c>
      <c r="B492" s="23" t="s">
        <v>710</v>
      </c>
      <c r="C492" s="23">
        <v>5</v>
      </c>
      <c r="D492" s="23">
        <v>4</v>
      </c>
      <c r="E492" s="23">
        <v>1</v>
      </c>
      <c r="F492" s="23">
        <v>2</v>
      </c>
      <c r="G492" s="23">
        <v>1</v>
      </c>
      <c r="H492" s="23" t="s">
        <v>22</v>
      </c>
      <c r="I492" s="23" t="s">
        <v>22</v>
      </c>
      <c r="J492" s="23">
        <v>13</v>
      </c>
      <c r="K492" s="23"/>
      <c r="L492" s="23"/>
      <c r="M492" s="23"/>
      <c r="N492" s="24"/>
      <c r="O492" s="23">
        <v>848</v>
      </c>
      <c r="R492">
        <f t="shared" si="7"/>
        <v>2.6</v>
      </c>
    </row>
    <row r="493" spans="1:18" ht="15.75" thickBot="1">
      <c r="A493" s="35" t="s">
        <v>455</v>
      </c>
      <c r="B493" s="23" t="s">
        <v>813</v>
      </c>
      <c r="C493" s="23">
        <v>4</v>
      </c>
      <c r="D493" s="23">
        <v>2</v>
      </c>
      <c r="E493" s="23">
        <v>2</v>
      </c>
      <c r="F493" s="23" t="s">
        <v>22</v>
      </c>
      <c r="G493" s="23">
        <v>1</v>
      </c>
      <c r="H493" s="23" t="s">
        <v>22</v>
      </c>
      <c r="I493" s="23" t="s">
        <v>22</v>
      </c>
      <c r="J493" s="23">
        <v>4</v>
      </c>
      <c r="K493" s="23"/>
      <c r="L493" s="23"/>
      <c r="M493" s="23"/>
      <c r="N493" s="24"/>
      <c r="O493" s="23" t="s">
        <v>22</v>
      </c>
      <c r="R493">
        <f t="shared" si="7"/>
        <v>1</v>
      </c>
    </row>
    <row r="494" spans="1:18" ht="15.75" thickBot="1">
      <c r="A494" s="35" t="s">
        <v>456</v>
      </c>
      <c r="B494" s="23" t="s">
        <v>710</v>
      </c>
      <c r="C494" s="23">
        <v>3</v>
      </c>
      <c r="D494" s="23">
        <v>2</v>
      </c>
      <c r="E494" s="23">
        <v>1</v>
      </c>
      <c r="F494" s="23">
        <v>1</v>
      </c>
      <c r="G494" s="23">
        <v>1</v>
      </c>
      <c r="H494" s="23" t="s">
        <v>22</v>
      </c>
      <c r="I494" s="23" t="s">
        <v>22</v>
      </c>
      <c r="J494" s="23">
        <v>4</v>
      </c>
      <c r="K494" s="23"/>
      <c r="L494" s="23"/>
      <c r="M494" s="23"/>
      <c r="N494" s="24"/>
      <c r="O494" s="23">
        <v>841</v>
      </c>
      <c r="R494">
        <f t="shared" si="7"/>
        <v>1.3333333333333333</v>
      </c>
    </row>
    <row r="495" spans="1:18" ht="15.75" thickBot="1">
      <c r="A495" s="35" t="s">
        <v>457</v>
      </c>
      <c r="B495" s="23" t="s">
        <v>814</v>
      </c>
      <c r="C495" s="23">
        <v>5</v>
      </c>
      <c r="D495" s="23">
        <v>3</v>
      </c>
      <c r="E495" s="23">
        <v>2</v>
      </c>
      <c r="F495" s="23">
        <v>2</v>
      </c>
      <c r="G495" s="23">
        <v>1</v>
      </c>
      <c r="H495" s="23" t="s">
        <v>22</v>
      </c>
      <c r="I495" s="23">
        <v>1</v>
      </c>
      <c r="J495" s="23">
        <v>12</v>
      </c>
      <c r="K495" s="23"/>
      <c r="L495" s="23"/>
      <c r="M495" s="23"/>
      <c r="N495" s="24"/>
      <c r="O495" s="23">
        <v>34</v>
      </c>
      <c r="R495">
        <f t="shared" si="7"/>
        <v>2.4</v>
      </c>
    </row>
    <row r="496" spans="1:18" ht="15.75" thickBot="1">
      <c r="A496" s="35" t="s">
        <v>458</v>
      </c>
      <c r="B496" s="23" t="s">
        <v>815</v>
      </c>
      <c r="C496" s="23">
        <v>7</v>
      </c>
      <c r="D496" s="23">
        <v>1</v>
      </c>
      <c r="E496" s="23">
        <v>6</v>
      </c>
      <c r="F496" s="23">
        <v>1</v>
      </c>
      <c r="G496" s="23">
        <v>1</v>
      </c>
      <c r="H496" s="23" t="s">
        <v>22</v>
      </c>
      <c r="I496" s="23" t="s">
        <v>22</v>
      </c>
      <c r="J496" s="24">
        <v>3</v>
      </c>
      <c r="K496" s="23"/>
      <c r="L496" s="23"/>
      <c r="M496" s="23"/>
      <c r="N496" s="24"/>
      <c r="O496" s="23" t="s">
        <v>22</v>
      </c>
      <c r="R496">
        <f t="shared" si="7"/>
        <v>0.42857142857142855</v>
      </c>
    </row>
    <row r="497" spans="1:18" ht="15.75" thickBot="1">
      <c r="A497" s="35" t="s">
        <v>459</v>
      </c>
      <c r="B497" s="23" t="s">
        <v>816</v>
      </c>
      <c r="C497" s="23">
        <v>2</v>
      </c>
      <c r="D497" s="23" t="s">
        <v>22</v>
      </c>
      <c r="E497" s="23">
        <v>2</v>
      </c>
      <c r="F497" s="23">
        <v>1</v>
      </c>
      <c r="G497" s="23">
        <v>1</v>
      </c>
      <c r="H497" s="23" t="s">
        <v>22</v>
      </c>
      <c r="I497" s="23" t="s">
        <v>22</v>
      </c>
      <c r="J497" s="25">
        <v>3.5</v>
      </c>
      <c r="K497" s="23"/>
      <c r="L497" s="23"/>
      <c r="M497" s="23"/>
      <c r="N497" s="24"/>
      <c r="O497" s="23">
        <v>178</v>
      </c>
      <c r="R497">
        <f t="shared" si="7"/>
        <v>1.75</v>
      </c>
    </row>
    <row r="498" spans="1:18" ht="15.75" thickBot="1">
      <c r="A498" s="35" t="s">
        <v>460</v>
      </c>
      <c r="B498" s="23" t="s">
        <v>817</v>
      </c>
      <c r="C498" s="23">
        <v>4</v>
      </c>
      <c r="D498" s="23">
        <v>1</v>
      </c>
      <c r="E498" s="23">
        <v>3</v>
      </c>
      <c r="F498" s="23">
        <v>1</v>
      </c>
      <c r="G498" s="23">
        <v>1</v>
      </c>
      <c r="H498" s="23" t="s">
        <v>22</v>
      </c>
      <c r="I498" s="23" t="s">
        <v>22</v>
      </c>
      <c r="J498" s="23">
        <v>4</v>
      </c>
      <c r="K498" s="23"/>
      <c r="L498" s="23"/>
      <c r="M498" s="23"/>
      <c r="N498" s="24"/>
      <c r="O498" s="23">
        <v>180</v>
      </c>
      <c r="R498">
        <f t="shared" si="7"/>
        <v>1</v>
      </c>
    </row>
    <row r="499" spans="1:18" ht="15.75" thickBot="1">
      <c r="A499" s="35" t="s">
        <v>461</v>
      </c>
      <c r="B499" s="23" t="s">
        <v>670</v>
      </c>
      <c r="C499" s="23">
        <v>4</v>
      </c>
      <c r="D499" s="23" t="s">
        <v>22</v>
      </c>
      <c r="E499" s="23">
        <v>4</v>
      </c>
      <c r="F499" s="23">
        <v>1</v>
      </c>
      <c r="G499" s="23">
        <v>1</v>
      </c>
      <c r="H499" s="23" t="s">
        <v>22</v>
      </c>
      <c r="I499" s="23" t="s">
        <v>22</v>
      </c>
      <c r="J499" s="23">
        <v>8</v>
      </c>
      <c r="K499" s="23"/>
      <c r="L499" s="23"/>
      <c r="M499" s="23"/>
      <c r="N499" s="24"/>
      <c r="O499" s="23" t="s">
        <v>22</v>
      </c>
      <c r="R499">
        <f t="shared" si="7"/>
        <v>2</v>
      </c>
    </row>
    <row r="500" spans="1:18" ht="15.75" thickBot="1">
      <c r="A500" s="35" t="s">
        <v>462</v>
      </c>
      <c r="B500" s="23" t="s">
        <v>818</v>
      </c>
      <c r="C500" s="23">
        <v>3</v>
      </c>
      <c r="D500" s="23">
        <v>1</v>
      </c>
      <c r="E500" s="23">
        <v>2</v>
      </c>
      <c r="F500" s="23" t="s">
        <v>22</v>
      </c>
      <c r="G500" s="23">
        <v>1</v>
      </c>
      <c r="H500" s="23" t="s">
        <v>22</v>
      </c>
      <c r="I500" s="23">
        <v>2</v>
      </c>
      <c r="J500" s="23">
        <v>8</v>
      </c>
      <c r="K500" s="23"/>
      <c r="L500" s="23"/>
      <c r="M500" s="23"/>
      <c r="N500" s="24"/>
      <c r="O500" s="23">
        <v>241</v>
      </c>
      <c r="R500">
        <f t="shared" si="7"/>
        <v>2.6666666666666665</v>
      </c>
    </row>
    <row r="501" spans="1:18" ht="15.75" thickBot="1">
      <c r="A501" s="35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4"/>
      <c r="O501" s="23"/>
      <c r="R501" t="e">
        <f t="shared" si="7"/>
        <v>#DIV/0!</v>
      </c>
    </row>
    <row r="502" spans="1:18" ht="15.75" thickBot="1">
      <c r="A502" s="35" t="s">
        <v>463</v>
      </c>
      <c r="B502" s="23" t="s">
        <v>819</v>
      </c>
      <c r="C502" s="23">
        <v>1</v>
      </c>
      <c r="D502" s="23" t="s">
        <v>22</v>
      </c>
      <c r="E502" s="23">
        <v>1</v>
      </c>
      <c r="F502" s="23" t="s">
        <v>22</v>
      </c>
      <c r="G502" s="23" t="s">
        <v>22</v>
      </c>
      <c r="H502" s="23" t="s">
        <v>22</v>
      </c>
      <c r="I502" s="23" t="s">
        <v>22</v>
      </c>
      <c r="J502" s="23" t="s">
        <v>22</v>
      </c>
      <c r="K502" s="23"/>
      <c r="L502" s="23"/>
      <c r="M502" s="23"/>
      <c r="N502" s="24"/>
      <c r="O502" s="23" t="s">
        <v>22</v>
      </c>
      <c r="R502" t="e">
        <f t="shared" si="7"/>
        <v>#VALUE!</v>
      </c>
    </row>
    <row r="503" spans="1:18" ht="15.75" thickBot="1">
      <c r="A503" s="35"/>
      <c r="B503" s="23"/>
      <c r="C503" s="23"/>
      <c r="D503" s="23"/>
      <c r="E503" s="23"/>
      <c r="F503" s="23"/>
      <c r="G503" s="23"/>
      <c r="H503" s="23"/>
      <c r="I503" s="23"/>
      <c r="J503" s="24"/>
      <c r="K503" s="23"/>
      <c r="L503" s="23"/>
      <c r="M503" s="23"/>
      <c r="N503" s="24"/>
      <c r="O503" s="23"/>
      <c r="R503" t="e">
        <f t="shared" si="7"/>
        <v>#DIV/0!</v>
      </c>
    </row>
    <row r="504" spans="1:18" ht="15.75" thickBot="1">
      <c r="A504" s="42" t="s">
        <v>464</v>
      </c>
      <c r="B504" s="23" t="s">
        <v>631</v>
      </c>
      <c r="C504" s="23">
        <v>3</v>
      </c>
      <c r="D504" s="23">
        <v>1</v>
      </c>
      <c r="E504" s="23">
        <v>2</v>
      </c>
      <c r="F504" s="23" t="s">
        <v>22</v>
      </c>
      <c r="G504" s="23">
        <v>1</v>
      </c>
      <c r="H504" s="23" t="s">
        <v>22</v>
      </c>
      <c r="I504" s="23" t="s">
        <v>22</v>
      </c>
      <c r="J504" s="23">
        <v>6</v>
      </c>
      <c r="K504" s="23"/>
      <c r="L504" s="23"/>
      <c r="M504" s="23"/>
      <c r="N504" s="24"/>
      <c r="O504" s="23" t="s">
        <v>22</v>
      </c>
      <c r="R504">
        <f t="shared" si="7"/>
        <v>2</v>
      </c>
    </row>
    <row r="505" spans="1:18" ht="15.75" thickBot="1">
      <c r="A505" s="35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4"/>
      <c r="O505" s="23"/>
      <c r="R505" t="e">
        <f t="shared" si="7"/>
        <v>#DIV/0!</v>
      </c>
    </row>
    <row r="506" spans="1:18" ht="15.75" thickBot="1">
      <c r="A506" s="35" t="s">
        <v>465</v>
      </c>
      <c r="B506" s="23" t="s">
        <v>820</v>
      </c>
      <c r="C506" s="23">
        <v>2</v>
      </c>
      <c r="D506" s="23">
        <v>2</v>
      </c>
      <c r="E506" s="23"/>
      <c r="F506" s="23">
        <v>1</v>
      </c>
      <c r="G506" s="23">
        <v>1</v>
      </c>
      <c r="H506" s="23" t="s">
        <v>22</v>
      </c>
      <c r="I506" s="23" t="s">
        <v>22</v>
      </c>
      <c r="J506" s="23">
        <v>4</v>
      </c>
      <c r="K506" s="23"/>
      <c r="L506" s="23"/>
      <c r="M506" s="23"/>
      <c r="N506" s="24"/>
      <c r="O506" s="23">
        <v>710</v>
      </c>
      <c r="R506">
        <f t="shared" si="7"/>
        <v>2</v>
      </c>
    </row>
    <row r="507" spans="1:18" ht="15.75" thickBot="1">
      <c r="A507" s="35" t="s">
        <v>466</v>
      </c>
      <c r="B507" s="23" t="s">
        <v>821</v>
      </c>
      <c r="C507" s="23">
        <v>4</v>
      </c>
      <c r="D507" s="23">
        <v>1</v>
      </c>
      <c r="E507" s="23"/>
      <c r="F507" s="23" t="s">
        <v>22</v>
      </c>
      <c r="G507" s="23">
        <v>1</v>
      </c>
      <c r="H507" s="23" t="s">
        <v>22</v>
      </c>
      <c r="I507" s="23" t="s">
        <v>22</v>
      </c>
      <c r="J507" s="23">
        <v>4</v>
      </c>
      <c r="K507" s="23"/>
      <c r="L507" s="23"/>
      <c r="M507" s="23"/>
      <c r="N507" s="24"/>
      <c r="O507" s="23">
        <v>712</v>
      </c>
      <c r="R507">
        <f t="shared" si="7"/>
        <v>1</v>
      </c>
    </row>
    <row r="508" spans="1:18" ht="15.75" thickBot="1">
      <c r="A508" s="35" t="s">
        <v>467</v>
      </c>
      <c r="B508" s="23" t="s">
        <v>822</v>
      </c>
      <c r="C508" s="23">
        <v>3</v>
      </c>
      <c r="D508" s="23">
        <v>1</v>
      </c>
      <c r="E508" s="23">
        <v>2</v>
      </c>
      <c r="F508" s="23" t="s">
        <v>22</v>
      </c>
      <c r="G508" s="23">
        <v>1</v>
      </c>
      <c r="H508" s="23" t="s">
        <v>22</v>
      </c>
      <c r="I508" s="23" t="s">
        <v>22</v>
      </c>
      <c r="J508" s="23">
        <v>4</v>
      </c>
      <c r="K508" s="23"/>
      <c r="L508" s="23"/>
      <c r="M508" s="23"/>
      <c r="N508" s="24"/>
      <c r="O508" s="23">
        <v>816</v>
      </c>
      <c r="R508">
        <f t="shared" si="7"/>
        <v>1.3333333333333333</v>
      </c>
    </row>
    <row r="509" spans="1:18" ht="15.75" thickBot="1">
      <c r="A509" s="35" t="s">
        <v>468</v>
      </c>
      <c r="B509" s="23" t="s">
        <v>823</v>
      </c>
      <c r="C509" s="23">
        <v>3</v>
      </c>
      <c r="D509" s="23">
        <v>1</v>
      </c>
      <c r="E509" s="23">
        <v>2</v>
      </c>
      <c r="F509" s="23">
        <v>1</v>
      </c>
      <c r="G509" s="23">
        <v>1</v>
      </c>
      <c r="H509" s="23" t="s">
        <v>22</v>
      </c>
      <c r="I509" s="23" t="s">
        <v>22</v>
      </c>
      <c r="J509" s="23">
        <v>4</v>
      </c>
      <c r="K509" s="23"/>
      <c r="L509" s="23"/>
      <c r="M509" s="23"/>
      <c r="N509" s="24"/>
      <c r="O509" s="23" t="s">
        <v>22</v>
      </c>
      <c r="R509">
        <f t="shared" si="7"/>
        <v>1.3333333333333333</v>
      </c>
    </row>
    <row r="510" spans="1:18" ht="15.75" thickBot="1">
      <c r="A510" s="35" t="s">
        <v>469</v>
      </c>
      <c r="B510" s="23" t="s">
        <v>824</v>
      </c>
      <c r="C510" s="23">
        <v>5</v>
      </c>
      <c r="D510" s="23">
        <v>1</v>
      </c>
      <c r="E510" s="23">
        <v>4</v>
      </c>
      <c r="F510" s="23" t="s">
        <v>22</v>
      </c>
      <c r="G510" s="23">
        <v>1</v>
      </c>
      <c r="H510" s="23" t="s">
        <v>22</v>
      </c>
      <c r="I510" s="23" t="s">
        <v>22</v>
      </c>
      <c r="J510" s="23">
        <v>4</v>
      </c>
      <c r="K510" s="23"/>
      <c r="L510" s="23"/>
      <c r="M510" s="23"/>
      <c r="N510" s="24"/>
      <c r="O510" s="23" t="s">
        <v>22</v>
      </c>
      <c r="R510">
        <f t="shared" si="7"/>
        <v>0.8</v>
      </c>
    </row>
    <row r="511" spans="1:18" ht="15.75" thickBot="1">
      <c r="A511" s="35" t="s">
        <v>470</v>
      </c>
      <c r="B511" s="23" t="s">
        <v>825</v>
      </c>
      <c r="C511" s="23">
        <v>7</v>
      </c>
      <c r="D511" s="23">
        <v>2</v>
      </c>
      <c r="E511" s="23"/>
      <c r="F511" s="23">
        <v>1</v>
      </c>
      <c r="G511" s="23">
        <v>2</v>
      </c>
      <c r="H511" s="23" t="s">
        <v>22</v>
      </c>
      <c r="I511" s="23" t="s">
        <v>22</v>
      </c>
      <c r="J511" s="23">
        <v>12</v>
      </c>
      <c r="K511" s="23"/>
      <c r="L511" s="23"/>
      <c r="M511" s="23"/>
      <c r="N511" s="24"/>
      <c r="O511" s="23">
        <v>706</v>
      </c>
      <c r="R511">
        <f t="shared" si="7"/>
        <v>1.7142857142857142</v>
      </c>
    </row>
    <row r="512" spans="1:18" ht="15.75" thickBot="1">
      <c r="A512" s="35" t="s">
        <v>471</v>
      </c>
      <c r="B512" s="23" t="s">
        <v>643</v>
      </c>
      <c r="C512" s="23">
        <v>7</v>
      </c>
      <c r="D512" s="23">
        <v>2</v>
      </c>
      <c r="E512" s="23">
        <v>5</v>
      </c>
      <c r="F512" s="23">
        <v>2</v>
      </c>
      <c r="G512" s="23">
        <v>1</v>
      </c>
      <c r="H512" s="23" t="s">
        <v>22</v>
      </c>
      <c r="I512" s="23">
        <v>3</v>
      </c>
      <c r="J512" s="23">
        <v>11</v>
      </c>
      <c r="K512" s="23"/>
      <c r="L512" s="23"/>
      <c r="M512" s="23"/>
      <c r="N512" s="24"/>
      <c r="O512" s="23" t="s">
        <v>22</v>
      </c>
      <c r="R512">
        <f t="shared" si="7"/>
        <v>1.5714285714285714</v>
      </c>
    </row>
    <row r="513" spans="1:18" ht="15.75" thickBot="1">
      <c r="A513" s="35" t="s">
        <v>472</v>
      </c>
      <c r="B513" s="23" t="s">
        <v>826</v>
      </c>
      <c r="C513" s="23">
        <v>4</v>
      </c>
      <c r="D513" s="23">
        <v>1</v>
      </c>
      <c r="E513" s="23">
        <v>3</v>
      </c>
      <c r="F513" s="23">
        <v>2</v>
      </c>
      <c r="G513" s="23">
        <v>1</v>
      </c>
      <c r="H513" s="23" t="s">
        <v>22</v>
      </c>
      <c r="I513" s="23" t="s">
        <v>22</v>
      </c>
      <c r="J513" s="23">
        <v>7</v>
      </c>
      <c r="K513" s="23"/>
      <c r="L513" s="23"/>
      <c r="M513" s="23"/>
      <c r="N513" s="24"/>
      <c r="O513" s="23">
        <v>809</v>
      </c>
      <c r="R513">
        <f t="shared" si="7"/>
        <v>1.75</v>
      </c>
    </row>
    <row r="514" spans="1:18" ht="15.75" thickBot="1">
      <c r="A514" s="35" t="s">
        <v>473</v>
      </c>
      <c r="B514" s="23" t="s">
        <v>710</v>
      </c>
      <c r="C514" s="23">
        <v>5</v>
      </c>
      <c r="D514" s="23">
        <v>1</v>
      </c>
      <c r="E514" s="23">
        <v>4</v>
      </c>
      <c r="F514" s="23">
        <v>2</v>
      </c>
      <c r="G514" s="23">
        <v>1</v>
      </c>
      <c r="H514" s="23" t="s">
        <v>22</v>
      </c>
      <c r="I514" s="23" t="s">
        <v>22</v>
      </c>
      <c r="J514" s="23">
        <v>8</v>
      </c>
      <c r="K514" s="23"/>
      <c r="L514" s="23"/>
      <c r="M514" s="23"/>
      <c r="N514" s="24"/>
      <c r="O514" s="23" t="s">
        <v>22</v>
      </c>
      <c r="R514">
        <f t="shared" ref="R514:R577" si="8">J514/C514</f>
        <v>1.6</v>
      </c>
    </row>
    <row r="515" spans="1:18" ht="15.75" thickBot="1">
      <c r="A515" s="35" t="s">
        <v>474</v>
      </c>
      <c r="B515" s="23" t="s">
        <v>827</v>
      </c>
      <c r="C515" s="23">
        <v>8</v>
      </c>
      <c r="D515" s="23">
        <v>2</v>
      </c>
      <c r="E515" s="23">
        <v>6</v>
      </c>
      <c r="F515" s="23">
        <v>1</v>
      </c>
      <c r="G515" s="23">
        <v>1</v>
      </c>
      <c r="H515" s="23" t="s">
        <v>22</v>
      </c>
      <c r="I515" s="23">
        <v>1</v>
      </c>
      <c r="J515" s="23">
        <v>8</v>
      </c>
      <c r="K515" s="23"/>
      <c r="L515" s="23"/>
      <c r="M515" s="23"/>
      <c r="N515" s="24"/>
      <c r="O515" s="23">
        <v>246</v>
      </c>
      <c r="R515">
        <f t="shared" si="8"/>
        <v>1</v>
      </c>
    </row>
    <row r="516" spans="1:18" ht="64.5" thickBot="1">
      <c r="A516" s="35" t="s">
        <v>475</v>
      </c>
      <c r="B516" s="23" t="s">
        <v>644</v>
      </c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4" t="s">
        <v>828</v>
      </c>
      <c r="O516" s="23" t="s">
        <v>22</v>
      </c>
      <c r="R516" t="e">
        <f t="shared" si="8"/>
        <v>#DIV/0!</v>
      </c>
    </row>
    <row r="517" spans="1:18" ht="15.75" thickBot="1">
      <c r="A517" s="35" t="s">
        <v>476</v>
      </c>
      <c r="B517" s="23" t="s">
        <v>829</v>
      </c>
      <c r="C517" s="23">
        <v>2</v>
      </c>
      <c r="D517" s="23">
        <v>2</v>
      </c>
      <c r="E517" s="23" t="s">
        <v>22</v>
      </c>
      <c r="F517" s="23">
        <v>2</v>
      </c>
      <c r="G517" s="23">
        <v>1</v>
      </c>
      <c r="H517" s="23" t="s">
        <v>22</v>
      </c>
      <c r="I517" s="23" t="s">
        <v>22</v>
      </c>
      <c r="J517" s="23">
        <v>6</v>
      </c>
      <c r="K517" s="23"/>
      <c r="L517" s="23"/>
      <c r="M517" s="23"/>
      <c r="N517" s="24"/>
      <c r="O517" s="23">
        <v>239</v>
      </c>
      <c r="R517">
        <f t="shared" si="8"/>
        <v>3</v>
      </c>
    </row>
    <row r="518" spans="1:18" ht="15.75" thickBot="1">
      <c r="A518" s="35" t="s">
        <v>477</v>
      </c>
      <c r="B518" s="23" t="s">
        <v>830</v>
      </c>
      <c r="C518" s="23">
        <v>2</v>
      </c>
      <c r="D518" s="23">
        <v>2</v>
      </c>
      <c r="E518" s="23" t="s">
        <v>22</v>
      </c>
      <c r="F518" s="23" t="s">
        <v>22</v>
      </c>
      <c r="G518" s="23" t="s">
        <v>22</v>
      </c>
      <c r="H518" s="23" t="s">
        <v>22</v>
      </c>
      <c r="I518" s="23" t="s">
        <v>22</v>
      </c>
      <c r="J518" s="23">
        <v>4</v>
      </c>
      <c r="K518" s="23"/>
      <c r="L518" s="23"/>
      <c r="M518" s="23"/>
      <c r="N518" s="24"/>
      <c r="O518" s="23" t="s">
        <v>22</v>
      </c>
      <c r="R518">
        <f t="shared" si="8"/>
        <v>2</v>
      </c>
    </row>
    <row r="519" spans="1:18" ht="15.75" thickBot="1">
      <c r="A519" s="35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4"/>
      <c r="O519" s="23"/>
      <c r="R519" t="e">
        <f t="shared" si="8"/>
        <v>#DIV/0!</v>
      </c>
    </row>
    <row r="520" spans="1:18" ht="15.75" thickBot="1">
      <c r="A520" s="35" t="s">
        <v>478</v>
      </c>
      <c r="B520" s="23" t="s">
        <v>630</v>
      </c>
      <c r="C520" s="23">
        <v>2</v>
      </c>
      <c r="D520" s="23" t="s">
        <v>22</v>
      </c>
      <c r="E520" s="23">
        <v>2</v>
      </c>
      <c r="F520" s="23">
        <v>1</v>
      </c>
      <c r="G520" s="23">
        <v>1</v>
      </c>
      <c r="H520" s="23" t="s">
        <v>22</v>
      </c>
      <c r="I520" s="23" t="s">
        <v>22</v>
      </c>
      <c r="J520" s="23">
        <v>4</v>
      </c>
      <c r="K520" s="23"/>
      <c r="L520" s="23"/>
      <c r="M520" s="23"/>
      <c r="N520" s="24"/>
      <c r="O520" s="23">
        <v>494</v>
      </c>
      <c r="R520">
        <f t="shared" si="8"/>
        <v>2</v>
      </c>
    </row>
    <row r="521" spans="1:18" ht="15.75" thickBot="1">
      <c r="A521" s="35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4"/>
      <c r="O521" s="23"/>
      <c r="R521" t="e">
        <f t="shared" si="8"/>
        <v>#DIV/0!</v>
      </c>
    </row>
    <row r="522" spans="1:18" ht="15.75" thickBot="1">
      <c r="A522" s="35" t="s">
        <v>479</v>
      </c>
      <c r="B522" s="23" t="s">
        <v>831</v>
      </c>
      <c r="C522" s="23">
        <v>2</v>
      </c>
      <c r="D522" s="23">
        <v>2</v>
      </c>
      <c r="E522" s="23" t="s">
        <v>22</v>
      </c>
      <c r="F522" s="23" t="s">
        <v>22</v>
      </c>
      <c r="G522" s="23" t="s">
        <v>22</v>
      </c>
      <c r="H522" s="23" t="s">
        <v>22</v>
      </c>
      <c r="I522" s="23" t="s">
        <v>22</v>
      </c>
      <c r="J522" s="23" t="s">
        <v>22</v>
      </c>
      <c r="K522" s="23"/>
      <c r="L522" s="23"/>
      <c r="M522" s="23"/>
      <c r="N522" s="24"/>
      <c r="O522" s="23">
        <v>802</v>
      </c>
      <c r="R522" t="e">
        <f t="shared" si="8"/>
        <v>#VALUE!</v>
      </c>
    </row>
    <row r="523" spans="1:18" ht="15.75" thickBot="1">
      <c r="A523" s="35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4"/>
      <c r="O523" s="23"/>
      <c r="R523" t="e">
        <f t="shared" si="8"/>
        <v>#DIV/0!</v>
      </c>
    </row>
    <row r="524" spans="1:18" ht="15.75" thickBot="1">
      <c r="A524" s="35" t="s">
        <v>2418</v>
      </c>
      <c r="B524" s="23" t="s">
        <v>832</v>
      </c>
      <c r="C524" s="23">
        <v>8</v>
      </c>
      <c r="D524" s="23">
        <v>2</v>
      </c>
      <c r="E524" s="23">
        <v>6</v>
      </c>
      <c r="F524" s="23">
        <v>1</v>
      </c>
      <c r="G524" s="23">
        <v>1</v>
      </c>
      <c r="H524" s="23" t="s">
        <v>22</v>
      </c>
      <c r="I524" s="23" t="s">
        <v>22</v>
      </c>
      <c r="J524" s="23">
        <v>7</v>
      </c>
      <c r="K524" s="23"/>
      <c r="L524" s="23"/>
      <c r="M524" s="23"/>
      <c r="N524" s="24"/>
      <c r="O524" s="23" t="s">
        <v>22</v>
      </c>
      <c r="R524">
        <f t="shared" si="8"/>
        <v>0.875</v>
      </c>
    </row>
    <row r="525" spans="1:18" ht="15.75" thickBot="1">
      <c r="A525" s="35" t="s">
        <v>480</v>
      </c>
      <c r="B525" s="23" t="s">
        <v>833</v>
      </c>
      <c r="C525" s="23">
        <v>4</v>
      </c>
      <c r="D525" s="23">
        <v>1</v>
      </c>
      <c r="E525" s="23">
        <v>3</v>
      </c>
      <c r="F525" s="23">
        <v>1</v>
      </c>
      <c r="G525" s="23">
        <v>1</v>
      </c>
      <c r="H525" s="23" t="s">
        <v>22</v>
      </c>
      <c r="I525" s="23" t="s">
        <v>22</v>
      </c>
      <c r="J525" s="23">
        <v>4</v>
      </c>
      <c r="K525" s="23"/>
      <c r="L525" s="23"/>
      <c r="M525" s="23"/>
      <c r="N525" s="24"/>
      <c r="O525" s="23" t="s">
        <v>22</v>
      </c>
      <c r="R525">
        <f t="shared" si="8"/>
        <v>1</v>
      </c>
    </row>
    <row r="526" spans="1:18" ht="15.75" thickBot="1">
      <c r="A526" s="35" t="s">
        <v>481</v>
      </c>
      <c r="B526" s="23" t="s">
        <v>834</v>
      </c>
      <c r="C526" s="23">
        <v>4</v>
      </c>
      <c r="D526" s="23">
        <v>2</v>
      </c>
      <c r="E526" s="23">
        <v>2</v>
      </c>
      <c r="F526" s="23">
        <v>1</v>
      </c>
      <c r="G526" s="23">
        <v>1</v>
      </c>
      <c r="H526" s="23" t="s">
        <v>22</v>
      </c>
      <c r="I526" s="23" t="s">
        <v>22</v>
      </c>
      <c r="J526" s="23">
        <v>5</v>
      </c>
      <c r="K526" s="23"/>
      <c r="L526" s="23"/>
      <c r="M526" s="23"/>
      <c r="N526" s="24"/>
      <c r="O526" s="23">
        <v>36</v>
      </c>
      <c r="R526">
        <f t="shared" si="8"/>
        <v>1.25</v>
      </c>
    </row>
    <row r="527" spans="1:18" ht="15.75" thickBot="1">
      <c r="A527" s="35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4"/>
      <c r="O527" s="23"/>
      <c r="R527" t="e">
        <f t="shared" si="8"/>
        <v>#DIV/0!</v>
      </c>
    </row>
    <row r="528" spans="1:18" ht="15.75" thickBot="1">
      <c r="A528" s="35" t="s">
        <v>482</v>
      </c>
      <c r="B528" s="23" t="s">
        <v>835</v>
      </c>
      <c r="C528" s="23">
        <v>4</v>
      </c>
      <c r="D528" s="23" t="s">
        <v>22</v>
      </c>
      <c r="E528" s="23">
        <v>4</v>
      </c>
      <c r="F528" s="23" t="s">
        <v>22</v>
      </c>
      <c r="G528" s="23">
        <v>1</v>
      </c>
      <c r="H528" s="23" t="s">
        <v>22</v>
      </c>
      <c r="I528" s="23" t="s">
        <v>22</v>
      </c>
      <c r="J528" s="23" t="s">
        <v>22</v>
      </c>
      <c r="K528" s="23"/>
      <c r="L528" s="23"/>
      <c r="M528" s="23"/>
      <c r="N528" s="24"/>
      <c r="O528" s="23" t="s">
        <v>22</v>
      </c>
      <c r="R528" t="e">
        <f t="shared" si="8"/>
        <v>#VALUE!</v>
      </c>
    </row>
    <row r="529" spans="1:18" ht="15.75" thickBot="1">
      <c r="A529" s="35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4"/>
      <c r="O529" s="23"/>
      <c r="R529" t="e">
        <f t="shared" si="8"/>
        <v>#DIV/0!</v>
      </c>
    </row>
    <row r="530" spans="1:18" ht="15.75" thickBot="1">
      <c r="A530" s="35" t="s">
        <v>483</v>
      </c>
      <c r="B530" s="23" t="s">
        <v>836</v>
      </c>
      <c r="C530" s="23">
        <v>11</v>
      </c>
      <c r="D530" s="23">
        <v>5</v>
      </c>
      <c r="E530" s="23">
        <v>6</v>
      </c>
      <c r="F530" s="23">
        <v>2</v>
      </c>
      <c r="G530" s="23">
        <v>2</v>
      </c>
      <c r="H530" s="23" t="s">
        <v>22</v>
      </c>
      <c r="I530" s="23" t="s">
        <v>51</v>
      </c>
      <c r="J530" s="23">
        <v>12</v>
      </c>
      <c r="K530" s="23"/>
      <c r="L530" s="23"/>
      <c r="M530" s="23"/>
      <c r="N530" s="24"/>
      <c r="O530" s="23">
        <v>663</v>
      </c>
      <c r="R530">
        <f t="shared" si="8"/>
        <v>1.0909090909090908</v>
      </c>
    </row>
    <row r="531" spans="1:18" ht="15.75" thickBot="1">
      <c r="A531" s="35" t="s">
        <v>484</v>
      </c>
      <c r="B531" s="23" t="s">
        <v>837</v>
      </c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4"/>
      <c r="O531" s="23">
        <v>690</v>
      </c>
      <c r="R531" t="e">
        <f t="shared" si="8"/>
        <v>#DIV/0!</v>
      </c>
    </row>
    <row r="532" spans="1:18" ht="15.75" thickBot="1">
      <c r="A532" s="35" t="s">
        <v>485</v>
      </c>
      <c r="B532" s="23" t="s">
        <v>838</v>
      </c>
      <c r="C532" s="23">
        <v>11</v>
      </c>
      <c r="D532" s="23">
        <v>3</v>
      </c>
      <c r="E532" s="23">
        <v>8</v>
      </c>
      <c r="F532" s="23">
        <v>2</v>
      </c>
      <c r="G532" s="23">
        <v>1</v>
      </c>
      <c r="H532" s="23" t="s">
        <v>22</v>
      </c>
      <c r="I532" s="23" t="s">
        <v>22</v>
      </c>
      <c r="J532" s="23" t="s">
        <v>51</v>
      </c>
      <c r="K532" s="23"/>
      <c r="L532" s="23"/>
      <c r="M532" s="23"/>
      <c r="N532" s="24"/>
      <c r="O532" s="23">
        <v>666</v>
      </c>
      <c r="R532" t="e">
        <f t="shared" si="8"/>
        <v>#VALUE!</v>
      </c>
    </row>
    <row r="533" spans="1:18" ht="15.75" thickBot="1">
      <c r="A533" s="35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4"/>
      <c r="O533" s="23"/>
      <c r="R533" t="e">
        <f t="shared" si="8"/>
        <v>#DIV/0!</v>
      </c>
    </row>
    <row r="534" spans="1:18" ht="15.75" thickBot="1">
      <c r="A534" s="35" t="s">
        <v>486</v>
      </c>
      <c r="B534" s="23" t="s">
        <v>631</v>
      </c>
      <c r="C534" s="23">
        <v>7</v>
      </c>
      <c r="D534" s="23">
        <v>2</v>
      </c>
      <c r="E534" s="23">
        <v>5</v>
      </c>
      <c r="F534" s="23" t="s">
        <v>22</v>
      </c>
      <c r="G534" s="23" t="s">
        <v>22</v>
      </c>
      <c r="H534" s="23" t="s">
        <v>22</v>
      </c>
      <c r="I534" s="23" t="s">
        <v>22</v>
      </c>
      <c r="J534" s="23">
        <v>4</v>
      </c>
      <c r="K534" s="23"/>
      <c r="L534" s="23"/>
      <c r="M534" s="23"/>
      <c r="N534" s="24"/>
      <c r="O534" s="23">
        <v>339</v>
      </c>
      <c r="R534">
        <f t="shared" si="8"/>
        <v>0.5714285714285714</v>
      </c>
    </row>
    <row r="535" spans="1:18" ht="15.75" thickBot="1">
      <c r="A535" s="35" t="s">
        <v>487</v>
      </c>
      <c r="B535" s="23" t="s">
        <v>636</v>
      </c>
      <c r="C535" s="23">
        <v>3</v>
      </c>
      <c r="D535" s="23">
        <v>3</v>
      </c>
      <c r="E535" s="23" t="s">
        <v>22</v>
      </c>
      <c r="F535" s="23">
        <v>1</v>
      </c>
      <c r="G535" s="23">
        <v>1</v>
      </c>
      <c r="H535" s="23" t="s">
        <v>22</v>
      </c>
      <c r="I535" s="23" t="s">
        <v>22</v>
      </c>
      <c r="J535" s="23">
        <v>4</v>
      </c>
      <c r="K535" s="23"/>
      <c r="L535" s="23"/>
      <c r="M535" s="23"/>
      <c r="N535" s="24"/>
      <c r="O535" s="23" t="s">
        <v>22</v>
      </c>
      <c r="R535">
        <f t="shared" si="8"/>
        <v>1.3333333333333333</v>
      </c>
    </row>
    <row r="536" spans="1:18" ht="15.75" thickBot="1">
      <c r="A536" s="35" t="s">
        <v>488</v>
      </c>
      <c r="B536" s="23" t="s">
        <v>634</v>
      </c>
      <c r="C536" s="23">
        <v>6</v>
      </c>
      <c r="D536" s="23">
        <v>2</v>
      </c>
      <c r="E536" s="23">
        <v>4</v>
      </c>
      <c r="F536" s="23">
        <v>1</v>
      </c>
      <c r="G536" s="23">
        <v>1</v>
      </c>
      <c r="H536" s="23" t="s">
        <v>22</v>
      </c>
      <c r="I536" s="23" t="s">
        <v>22</v>
      </c>
      <c r="J536" s="23">
        <v>6</v>
      </c>
      <c r="K536" s="23"/>
      <c r="L536" s="23"/>
      <c r="M536" s="23"/>
      <c r="N536" s="24"/>
      <c r="O536" s="23">
        <v>266</v>
      </c>
      <c r="R536">
        <f t="shared" si="8"/>
        <v>1</v>
      </c>
    </row>
    <row r="537" spans="1:18" ht="15.75" thickBot="1">
      <c r="A537" s="35" t="s">
        <v>489</v>
      </c>
      <c r="B537" s="23" t="s">
        <v>839</v>
      </c>
      <c r="C537" s="23">
        <v>6</v>
      </c>
      <c r="D537" s="23">
        <v>3</v>
      </c>
      <c r="E537" s="23">
        <v>3</v>
      </c>
      <c r="F537" s="23">
        <v>1</v>
      </c>
      <c r="G537" s="23">
        <v>1</v>
      </c>
      <c r="H537" s="23" t="s">
        <v>22</v>
      </c>
      <c r="I537" s="23">
        <v>1</v>
      </c>
      <c r="J537" s="23">
        <v>9</v>
      </c>
      <c r="K537" s="23"/>
      <c r="L537" s="23"/>
      <c r="M537" s="23"/>
      <c r="N537" s="24"/>
      <c r="O537" s="23" t="s">
        <v>22</v>
      </c>
      <c r="R537">
        <f t="shared" si="8"/>
        <v>1.5</v>
      </c>
    </row>
    <row r="538" spans="1:18" ht="15.75" thickBot="1">
      <c r="A538" s="35" t="s">
        <v>490</v>
      </c>
      <c r="B538" s="23" t="s">
        <v>641</v>
      </c>
      <c r="C538" s="23">
        <v>5</v>
      </c>
      <c r="D538" s="23">
        <v>1</v>
      </c>
      <c r="E538" s="23">
        <v>4</v>
      </c>
      <c r="F538" s="23">
        <v>1</v>
      </c>
      <c r="G538" s="23" t="s">
        <v>22</v>
      </c>
      <c r="H538" s="23" t="s">
        <v>22</v>
      </c>
      <c r="I538" s="23" t="s">
        <v>22</v>
      </c>
      <c r="J538" s="23">
        <v>4</v>
      </c>
      <c r="K538" s="23"/>
      <c r="L538" s="23"/>
      <c r="M538" s="23"/>
      <c r="N538" s="24"/>
      <c r="O538" s="23" t="s">
        <v>22</v>
      </c>
      <c r="R538">
        <f t="shared" si="8"/>
        <v>0.8</v>
      </c>
    </row>
    <row r="539" spans="1:18" ht="15.75" thickBot="1">
      <c r="A539" s="35" t="s">
        <v>491</v>
      </c>
      <c r="B539" s="23" t="s">
        <v>840</v>
      </c>
      <c r="C539" s="23">
        <v>6</v>
      </c>
      <c r="D539" s="23">
        <v>2</v>
      </c>
      <c r="E539" s="23">
        <v>4</v>
      </c>
      <c r="F539" s="23">
        <v>1</v>
      </c>
      <c r="G539" s="23">
        <v>1</v>
      </c>
      <c r="H539" s="23" t="s">
        <v>22</v>
      </c>
      <c r="I539" s="23" t="s">
        <v>22</v>
      </c>
      <c r="J539" s="23">
        <v>9</v>
      </c>
      <c r="K539" s="23"/>
      <c r="L539" s="23"/>
      <c r="M539" s="23"/>
      <c r="N539" s="24"/>
      <c r="O539" s="23">
        <v>400</v>
      </c>
      <c r="R539">
        <f t="shared" si="8"/>
        <v>1.5</v>
      </c>
    </row>
    <row r="540" spans="1:18" ht="15.75" thickBot="1">
      <c r="A540" s="35" t="s">
        <v>492</v>
      </c>
      <c r="B540" s="23" t="s">
        <v>634</v>
      </c>
      <c r="C540" s="23">
        <v>3</v>
      </c>
      <c r="D540" s="23">
        <v>1</v>
      </c>
      <c r="E540" s="23">
        <v>2</v>
      </c>
      <c r="F540" s="23">
        <v>2</v>
      </c>
      <c r="G540" s="23">
        <v>1</v>
      </c>
      <c r="H540" s="23" t="s">
        <v>22</v>
      </c>
      <c r="I540" s="23" t="s">
        <v>22</v>
      </c>
      <c r="J540" s="23">
        <v>6</v>
      </c>
      <c r="K540" s="23"/>
      <c r="L540" s="23"/>
      <c r="M540" s="23"/>
      <c r="N540" s="24"/>
      <c r="O540" s="23">
        <v>279</v>
      </c>
      <c r="R540">
        <f t="shared" si="8"/>
        <v>2</v>
      </c>
    </row>
    <row r="541" spans="1:18" ht="15.75" thickBot="1">
      <c r="A541" s="35" t="s">
        <v>493</v>
      </c>
      <c r="B541" s="23" t="s">
        <v>841</v>
      </c>
      <c r="C541" s="23">
        <v>4</v>
      </c>
      <c r="D541" s="23">
        <v>2</v>
      </c>
      <c r="E541" s="23">
        <v>2</v>
      </c>
      <c r="F541" s="23">
        <v>1</v>
      </c>
      <c r="G541" s="23">
        <v>1</v>
      </c>
      <c r="H541" s="23" t="s">
        <v>22</v>
      </c>
      <c r="I541" s="23" t="s">
        <v>22</v>
      </c>
      <c r="J541" s="23">
        <v>5</v>
      </c>
      <c r="K541" s="23"/>
      <c r="L541" s="23"/>
      <c r="M541" s="23"/>
      <c r="N541" s="24"/>
      <c r="O541" s="23">
        <v>43</v>
      </c>
      <c r="R541">
        <f t="shared" si="8"/>
        <v>1.25</v>
      </c>
    </row>
    <row r="542" spans="1:18" ht="15.75" thickBot="1">
      <c r="A542" s="35" t="s">
        <v>494</v>
      </c>
      <c r="B542" s="23" t="s">
        <v>624</v>
      </c>
      <c r="C542" s="23">
        <v>4</v>
      </c>
      <c r="D542" s="23">
        <v>3</v>
      </c>
      <c r="E542" s="23">
        <v>1</v>
      </c>
      <c r="F542" s="23">
        <v>1</v>
      </c>
      <c r="G542" s="23">
        <v>1</v>
      </c>
      <c r="H542" s="23" t="s">
        <v>22</v>
      </c>
      <c r="I542" s="23" t="s">
        <v>22</v>
      </c>
      <c r="J542" s="25">
        <v>1.5</v>
      </c>
      <c r="K542" s="23"/>
      <c r="L542" s="23"/>
      <c r="M542" s="23"/>
      <c r="N542" s="24"/>
      <c r="O542" s="23">
        <v>606</v>
      </c>
      <c r="R542">
        <f t="shared" si="8"/>
        <v>0.375</v>
      </c>
    </row>
    <row r="543" spans="1:18" ht="15.75" thickBot="1">
      <c r="A543" s="35" t="s">
        <v>495</v>
      </c>
      <c r="B543" s="23" t="s">
        <v>631</v>
      </c>
      <c r="C543" s="23">
        <v>4</v>
      </c>
      <c r="D543" s="23" t="s">
        <v>22</v>
      </c>
      <c r="E543" s="23">
        <v>4</v>
      </c>
      <c r="F543" s="23" t="s">
        <v>22</v>
      </c>
      <c r="G543" s="23" t="s">
        <v>22</v>
      </c>
      <c r="H543" s="23" t="s">
        <v>22</v>
      </c>
      <c r="I543" s="23" t="s">
        <v>22</v>
      </c>
      <c r="J543" s="23">
        <v>4</v>
      </c>
      <c r="K543" s="23"/>
      <c r="L543" s="23"/>
      <c r="M543" s="23"/>
      <c r="N543" s="24"/>
      <c r="O543" s="23" t="s">
        <v>22</v>
      </c>
      <c r="R543">
        <f t="shared" si="8"/>
        <v>1</v>
      </c>
    </row>
    <row r="544" spans="1:18" ht="15.75" thickBot="1">
      <c r="A544" s="35" t="s">
        <v>496</v>
      </c>
      <c r="B544" s="23" t="s">
        <v>842</v>
      </c>
      <c r="C544" s="23">
        <v>7</v>
      </c>
      <c r="D544" s="23">
        <v>2</v>
      </c>
      <c r="E544" s="23">
        <v>5</v>
      </c>
      <c r="F544" s="23" t="s">
        <v>22</v>
      </c>
      <c r="G544" s="23">
        <v>1</v>
      </c>
      <c r="H544" s="23" t="s">
        <v>22</v>
      </c>
      <c r="I544" s="23">
        <v>1</v>
      </c>
      <c r="J544" s="23">
        <v>1</v>
      </c>
      <c r="K544" s="23"/>
      <c r="L544" s="23"/>
      <c r="M544" s="23"/>
      <c r="N544" s="24"/>
      <c r="O544" s="23">
        <v>55</v>
      </c>
      <c r="R544">
        <f t="shared" si="8"/>
        <v>0.14285714285714285</v>
      </c>
    </row>
    <row r="545" spans="1:18" ht="15.75" thickBot="1">
      <c r="A545" s="35" t="s">
        <v>497</v>
      </c>
      <c r="B545" s="23" t="s">
        <v>843</v>
      </c>
      <c r="C545" s="23">
        <v>3</v>
      </c>
      <c r="D545" s="23" t="s">
        <v>22</v>
      </c>
      <c r="E545" s="23">
        <v>3</v>
      </c>
      <c r="F545" s="23">
        <v>1</v>
      </c>
      <c r="G545" s="23">
        <v>1</v>
      </c>
      <c r="H545" s="23" t="s">
        <v>22</v>
      </c>
      <c r="I545" s="23" t="s">
        <v>22</v>
      </c>
      <c r="J545" s="23">
        <v>8</v>
      </c>
      <c r="K545" s="23"/>
      <c r="L545" s="23"/>
      <c r="M545" s="23"/>
      <c r="N545" s="24"/>
      <c r="O545" s="23" t="s">
        <v>22</v>
      </c>
      <c r="R545">
        <f t="shared" si="8"/>
        <v>2.6666666666666665</v>
      </c>
    </row>
    <row r="546" spans="1:18" ht="15.75" thickBot="1">
      <c r="A546" s="35" t="s">
        <v>498</v>
      </c>
      <c r="B546" s="23" t="s">
        <v>641</v>
      </c>
      <c r="C546" s="23">
        <v>8</v>
      </c>
      <c r="D546" s="23">
        <v>1</v>
      </c>
      <c r="E546" s="23">
        <v>7</v>
      </c>
      <c r="F546" s="23" t="s">
        <v>22</v>
      </c>
      <c r="G546" s="23">
        <v>1</v>
      </c>
      <c r="H546" s="23" t="s">
        <v>22</v>
      </c>
      <c r="I546" s="23">
        <v>1</v>
      </c>
      <c r="J546" s="23">
        <v>2</v>
      </c>
      <c r="K546" s="23"/>
      <c r="L546" s="23"/>
      <c r="M546" s="23"/>
      <c r="N546" s="24"/>
      <c r="O546" s="23">
        <v>129</v>
      </c>
      <c r="R546">
        <f t="shared" si="8"/>
        <v>0.25</v>
      </c>
    </row>
    <row r="547" spans="1:18" ht="15.75" thickBot="1">
      <c r="A547" s="35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4"/>
      <c r="O547" s="23"/>
      <c r="R547" t="e">
        <f t="shared" si="8"/>
        <v>#DIV/0!</v>
      </c>
    </row>
    <row r="548" spans="1:18" ht="15.75" thickBot="1">
      <c r="A548" s="35" t="s">
        <v>499</v>
      </c>
      <c r="B548" s="23" t="s">
        <v>844</v>
      </c>
      <c r="C548" s="23">
        <v>3</v>
      </c>
      <c r="D548" s="23">
        <v>2</v>
      </c>
      <c r="E548" s="23">
        <v>1</v>
      </c>
      <c r="F548" s="23" t="s">
        <v>22</v>
      </c>
      <c r="G548" s="23">
        <v>1</v>
      </c>
      <c r="H548" s="23" t="s">
        <v>22</v>
      </c>
      <c r="I548" s="23" t="s">
        <v>22</v>
      </c>
      <c r="J548" s="23" t="s">
        <v>22</v>
      </c>
      <c r="K548" s="23"/>
      <c r="L548" s="23"/>
      <c r="M548" s="23"/>
      <c r="N548" s="24"/>
      <c r="O548" s="23">
        <v>44</v>
      </c>
      <c r="R548" t="e">
        <f t="shared" si="8"/>
        <v>#VALUE!</v>
      </c>
    </row>
    <row r="549" spans="1:18" ht="15.75" thickBot="1">
      <c r="A549" s="35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4"/>
      <c r="O549" s="23"/>
      <c r="R549" t="e">
        <f t="shared" si="8"/>
        <v>#DIV/0!</v>
      </c>
    </row>
    <row r="550" spans="1:18" ht="15.75" thickBot="1">
      <c r="A550" s="35" t="s">
        <v>500</v>
      </c>
      <c r="B550" s="23" t="s">
        <v>845</v>
      </c>
      <c r="C550" s="23">
        <v>4</v>
      </c>
      <c r="D550" s="23">
        <v>1</v>
      </c>
      <c r="E550" s="23">
        <v>3</v>
      </c>
      <c r="F550" s="23" t="s">
        <v>22</v>
      </c>
      <c r="G550" s="23">
        <v>1</v>
      </c>
      <c r="H550" s="23" t="s">
        <v>22</v>
      </c>
      <c r="I550" s="23" t="s">
        <v>22</v>
      </c>
      <c r="J550" s="23">
        <v>2</v>
      </c>
      <c r="K550" s="23"/>
      <c r="L550" s="23"/>
      <c r="M550" s="23"/>
      <c r="N550" s="24"/>
      <c r="O550" s="23">
        <v>765</v>
      </c>
      <c r="R550">
        <f t="shared" si="8"/>
        <v>0.5</v>
      </c>
    </row>
    <row r="551" spans="1:18" ht="15.75" thickBot="1">
      <c r="A551" s="35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4"/>
      <c r="O551" s="23"/>
      <c r="R551" t="e">
        <f t="shared" si="8"/>
        <v>#DIV/0!</v>
      </c>
    </row>
    <row r="552" spans="1:18" ht="15.75" thickBot="1">
      <c r="A552" s="35" t="s">
        <v>501</v>
      </c>
      <c r="B552" s="23" t="s">
        <v>641</v>
      </c>
      <c r="C552" s="23">
        <v>10</v>
      </c>
      <c r="D552" s="23">
        <v>3</v>
      </c>
      <c r="E552" s="23">
        <v>7</v>
      </c>
      <c r="F552" s="23">
        <v>2</v>
      </c>
      <c r="G552" s="23">
        <v>1</v>
      </c>
      <c r="H552" s="23" t="s">
        <v>22</v>
      </c>
      <c r="I552" s="23">
        <v>1</v>
      </c>
      <c r="J552" s="23">
        <v>18</v>
      </c>
      <c r="K552" s="23"/>
      <c r="L552" s="23"/>
      <c r="M552" s="23"/>
      <c r="N552" s="24"/>
      <c r="O552" s="23" t="s">
        <v>22</v>
      </c>
      <c r="R552">
        <f t="shared" si="8"/>
        <v>1.8</v>
      </c>
    </row>
    <row r="553" spans="1:18" ht="15.75" thickBot="1">
      <c r="A553" s="35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4"/>
      <c r="O553" s="23"/>
      <c r="R553" t="e">
        <f t="shared" si="8"/>
        <v>#DIV/0!</v>
      </c>
    </row>
    <row r="554" spans="1:18" ht="15.75" thickBot="1">
      <c r="A554" s="35" t="s">
        <v>502</v>
      </c>
      <c r="B554" s="23" t="s">
        <v>624</v>
      </c>
      <c r="C554" s="23">
        <v>4</v>
      </c>
      <c r="D554" s="23">
        <v>3</v>
      </c>
      <c r="E554" s="23">
        <v>1</v>
      </c>
      <c r="F554" s="23">
        <v>1</v>
      </c>
      <c r="G554" s="23">
        <v>1</v>
      </c>
      <c r="H554" s="23" t="s">
        <v>22</v>
      </c>
      <c r="I554" s="23" t="s">
        <v>22</v>
      </c>
      <c r="J554" s="23">
        <v>4</v>
      </c>
      <c r="K554" s="23"/>
      <c r="L554" s="23"/>
      <c r="M554" s="23"/>
      <c r="N554" s="24"/>
      <c r="O554" s="23" t="s">
        <v>22</v>
      </c>
      <c r="R554">
        <f t="shared" si="8"/>
        <v>1</v>
      </c>
    </row>
    <row r="555" spans="1:18" ht="15.75" thickBot="1">
      <c r="A555" s="35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4"/>
      <c r="O555" s="23"/>
      <c r="R555" t="e">
        <f t="shared" si="8"/>
        <v>#DIV/0!</v>
      </c>
    </row>
    <row r="556" spans="1:18" ht="15.75" thickBot="1">
      <c r="A556" s="35" t="s">
        <v>503</v>
      </c>
      <c r="B556" s="23" t="s">
        <v>710</v>
      </c>
      <c r="C556" s="23">
        <v>6</v>
      </c>
      <c r="D556" s="23">
        <v>2</v>
      </c>
      <c r="E556" s="23">
        <v>4</v>
      </c>
      <c r="F556" s="23">
        <v>1</v>
      </c>
      <c r="G556" s="23">
        <v>1</v>
      </c>
      <c r="H556" s="23" t="s">
        <v>22</v>
      </c>
      <c r="I556" s="23" t="s">
        <v>22</v>
      </c>
      <c r="J556" s="23">
        <v>9</v>
      </c>
      <c r="K556" s="23"/>
      <c r="L556" s="23"/>
      <c r="M556" s="23"/>
      <c r="N556" s="24"/>
      <c r="O556" s="23">
        <v>857</v>
      </c>
      <c r="R556">
        <f t="shared" si="8"/>
        <v>1.5</v>
      </c>
    </row>
    <row r="557" spans="1:18" ht="15.75" thickBot="1">
      <c r="A557" s="35" t="s">
        <v>504</v>
      </c>
      <c r="B557" s="23" t="s">
        <v>846</v>
      </c>
      <c r="C557" s="23">
        <v>6</v>
      </c>
      <c r="D557" s="23">
        <v>2</v>
      </c>
      <c r="E557" s="23">
        <v>4</v>
      </c>
      <c r="F557" s="23">
        <v>2</v>
      </c>
      <c r="G557" s="23">
        <v>1</v>
      </c>
      <c r="H557" s="23" t="s">
        <v>22</v>
      </c>
      <c r="I557" s="23" t="s">
        <v>22</v>
      </c>
      <c r="J557" s="23">
        <v>8</v>
      </c>
      <c r="K557" s="23"/>
      <c r="L557" s="23"/>
      <c r="M557" s="23"/>
      <c r="N557" s="24"/>
      <c r="O557" s="23">
        <v>743</v>
      </c>
      <c r="R557">
        <f t="shared" si="8"/>
        <v>1.3333333333333333</v>
      </c>
    </row>
    <row r="558" spans="1:18" ht="15.75" thickBot="1">
      <c r="A558" s="35" t="s">
        <v>505</v>
      </c>
      <c r="B558" s="23" t="s">
        <v>670</v>
      </c>
      <c r="C558" s="23">
        <v>7</v>
      </c>
      <c r="D558" s="23">
        <v>2</v>
      </c>
      <c r="E558" s="23">
        <v>5</v>
      </c>
      <c r="F558" s="23">
        <v>1</v>
      </c>
      <c r="G558" s="23">
        <v>2</v>
      </c>
      <c r="H558" s="23" t="s">
        <v>22</v>
      </c>
      <c r="I558" s="23" t="s">
        <v>22</v>
      </c>
      <c r="J558" s="23" t="s">
        <v>691</v>
      </c>
      <c r="K558" s="23"/>
      <c r="L558" s="23"/>
      <c r="M558" s="23"/>
      <c r="N558" s="24"/>
      <c r="O558" s="23">
        <v>828</v>
      </c>
      <c r="R558" t="e">
        <f t="shared" si="8"/>
        <v>#VALUE!</v>
      </c>
    </row>
    <row r="559" spans="1:18" ht="15.75" thickBot="1">
      <c r="A559" s="35" t="s">
        <v>506</v>
      </c>
      <c r="B559" s="23" t="s">
        <v>624</v>
      </c>
      <c r="C559" s="23">
        <v>2</v>
      </c>
      <c r="D559" s="23">
        <v>2</v>
      </c>
      <c r="E559" s="23" t="s">
        <v>22</v>
      </c>
      <c r="F559" s="23">
        <v>1</v>
      </c>
      <c r="G559" s="23">
        <v>1</v>
      </c>
      <c r="H559" s="23" t="s">
        <v>22</v>
      </c>
      <c r="I559" s="23" t="s">
        <v>51</v>
      </c>
      <c r="J559" s="25">
        <v>4.5</v>
      </c>
      <c r="K559" s="23"/>
      <c r="L559" s="23"/>
      <c r="M559" s="23"/>
      <c r="N559" s="24"/>
      <c r="O559" s="23">
        <v>631</v>
      </c>
      <c r="R559">
        <f t="shared" si="8"/>
        <v>2.25</v>
      </c>
    </row>
    <row r="560" spans="1:18" ht="15.75" thickBot="1">
      <c r="A560" s="35" t="s">
        <v>507</v>
      </c>
      <c r="B560" s="23" t="s">
        <v>710</v>
      </c>
      <c r="C560" s="23">
        <v>2</v>
      </c>
      <c r="D560" s="23" t="s">
        <v>22</v>
      </c>
      <c r="E560" s="23">
        <v>2</v>
      </c>
      <c r="F560" s="23">
        <v>1</v>
      </c>
      <c r="G560" s="23">
        <v>1</v>
      </c>
      <c r="H560" s="23" t="s">
        <v>22</v>
      </c>
      <c r="I560" s="23" t="s">
        <v>22</v>
      </c>
      <c r="J560" s="23">
        <v>4</v>
      </c>
      <c r="K560" s="23"/>
      <c r="L560" s="23"/>
      <c r="M560" s="23"/>
      <c r="N560" s="24"/>
      <c r="O560" s="23">
        <v>859</v>
      </c>
      <c r="R560">
        <f t="shared" si="8"/>
        <v>2</v>
      </c>
    </row>
    <row r="561" spans="1:18" ht="15.75" thickBot="1">
      <c r="A561" s="35" t="s">
        <v>508</v>
      </c>
      <c r="B561" s="23" t="s">
        <v>847</v>
      </c>
      <c r="C561" s="23">
        <v>7</v>
      </c>
      <c r="D561" s="23" t="s">
        <v>22</v>
      </c>
      <c r="E561" s="23">
        <v>7</v>
      </c>
      <c r="F561" s="23">
        <v>2</v>
      </c>
      <c r="G561" s="23">
        <v>1</v>
      </c>
      <c r="H561" s="23" t="s">
        <v>22</v>
      </c>
      <c r="I561" s="23" t="s">
        <v>22</v>
      </c>
      <c r="J561" s="23">
        <v>8</v>
      </c>
      <c r="K561" s="23"/>
      <c r="L561" s="23"/>
      <c r="M561" s="23"/>
      <c r="N561" s="24"/>
      <c r="O561" s="23">
        <v>52</v>
      </c>
      <c r="R561">
        <f t="shared" si="8"/>
        <v>1.1428571428571428</v>
      </c>
    </row>
    <row r="562" spans="1:18" ht="15.75" thickBot="1">
      <c r="A562" s="35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4"/>
      <c r="O562" s="23"/>
      <c r="R562" t="e">
        <f t="shared" si="8"/>
        <v>#DIV/0!</v>
      </c>
    </row>
    <row r="563" spans="1:18" ht="15.75" thickBot="1">
      <c r="A563" s="35" t="s">
        <v>509</v>
      </c>
      <c r="B563" s="23" t="s">
        <v>670</v>
      </c>
      <c r="C563" s="23">
        <v>1</v>
      </c>
      <c r="D563" s="23" t="s">
        <v>22</v>
      </c>
      <c r="E563" s="23">
        <v>1</v>
      </c>
      <c r="F563" s="23" t="s">
        <v>22</v>
      </c>
      <c r="G563" s="23">
        <v>1</v>
      </c>
      <c r="H563" s="23" t="s">
        <v>22</v>
      </c>
      <c r="I563" s="23" t="s">
        <v>22</v>
      </c>
      <c r="J563" s="25">
        <v>1.5</v>
      </c>
      <c r="K563" s="23"/>
      <c r="L563" s="23"/>
      <c r="M563" s="23"/>
      <c r="N563" s="24"/>
      <c r="O563" s="23" t="s">
        <v>22</v>
      </c>
      <c r="R563">
        <f t="shared" si="8"/>
        <v>1.5</v>
      </c>
    </row>
    <row r="564" spans="1:18" ht="15.75" thickBot="1">
      <c r="A564" s="35" t="s">
        <v>510</v>
      </c>
      <c r="B564" s="23" t="s">
        <v>710</v>
      </c>
      <c r="C564" s="23">
        <v>2</v>
      </c>
      <c r="D564" s="23">
        <v>1</v>
      </c>
      <c r="E564" s="23">
        <v>1</v>
      </c>
      <c r="F564" s="23">
        <v>1</v>
      </c>
      <c r="G564" s="23">
        <v>1</v>
      </c>
      <c r="H564" s="23" t="s">
        <v>51</v>
      </c>
      <c r="I564" s="23" t="s">
        <v>51</v>
      </c>
      <c r="J564" s="23">
        <v>3</v>
      </c>
      <c r="K564" s="23"/>
      <c r="L564" s="23"/>
      <c r="M564" s="23"/>
      <c r="N564" s="24"/>
      <c r="O564" s="23" t="s">
        <v>22</v>
      </c>
      <c r="R564">
        <f t="shared" si="8"/>
        <v>1.5</v>
      </c>
    </row>
    <row r="565" spans="1:18" ht="15.75" thickBot="1">
      <c r="A565" s="35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4"/>
      <c r="O565" s="23"/>
      <c r="R565" t="e">
        <f t="shared" si="8"/>
        <v>#DIV/0!</v>
      </c>
    </row>
    <row r="566" spans="1:18" ht="15.75" thickBot="1">
      <c r="A566" s="35" t="s">
        <v>511</v>
      </c>
      <c r="B566" s="23" t="s">
        <v>630</v>
      </c>
      <c r="C566" s="23">
        <v>3</v>
      </c>
      <c r="D566" s="23">
        <v>2</v>
      </c>
      <c r="E566" s="23">
        <v>1</v>
      </c>
      <c r="F566" s="23">
        <v>1</v>
      </c>
      <c r="G566" s="23">
        <v>1</v>
      </c>
      <c r="H566" s="23" t="s">
        <v>22</v>
      </c>
      <c r="I566" s="23" t="s">
        <v>22</v>
      </c>
      <c r="J566" s="23" t="s">
        <v>22</v>
      </c>
      <c r="K566" s="23"/>
      <c r="L566" s="23"/>
      <c r="M566" s="23"/>
      <c r="N566" s="24"/>
      <c r="O566" s="23" t="s">
        <v>22</v>
      </c>
      <c r="R566" t="e">
        <f t="shared" si="8"/>
        <v>#VALUE!</v>
      </c>
    </row>
    <row r="567" spans="1:18" ht="15.75" thickBot="1">
      <c r="A567" s="35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4"/>
      <c r="O567" s="23"/>
      <c r="R567" t="e">
        <f t="shared" si="8"/>
        <v>#DIV/0!</v>
      </c>
    </row>
    <row r="568" spans="1:18" ht="26.25" thickBot="1">
      <c r="A568" s="35" t="s">
        <v>512</v>
      </c>
      <c r="B568" s="23" t="s">
        <v>644</v>
      </c>
      <c r="C568" s="23">
        <v>7</v>
      </c>
      <c r="D568" s="23">
        <v>1</v>
      </c>
      <c r="E568" s="23">
        <v>6</v>
      </c>
      <c r="F568" s="23">
        <v>1</v>
      </c>
      <c r="G568" s="23">
        <v>1</v>
      </c>
      <c r="H568" s="23" t="s">
        <v>22</v>
      </c>
      <c r="I568" s="23" t="s">
        <v>22</v>
      </c>
      <c r="J568" s="25">
        <v>2.5</v>
      </c>
      <c r="K568" s="23"/>
      <c r="L568" s="23"/>
      <c r="M568" s="23"/>
      <c r="N568" s="24" t="s">
        <v>848</v>
      </c>
      <c r="O568" s="23" t="s">
        <v>22</v>
      </c>
      <c r="R568">
        <f t="shared" si="8"/>
        <v>0.35714285714285715</v>
      </c>
    </row>
    <row r="569" spans="1:18" ht="15.75" thickBot="1">
      <c r="A569" s="35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4"/>
      <c r="O569" s="23"/>
      <c r="R569" t="e">
        <f t="shared" si="8"/>
        <v>#DIV/0!</v>
      </c>
    </row>
    <row r="570" spans="1:18" ht="15.75" thickBot="1">
      <c r="A570" s="35" t="s">
        <v>513</v>
      </c>
      <c r="B570" s="23" t="s">
        <v>629</v>
      </c>
      <c r="C570" s="23">
        <v>5</v>
      </c>
      <c r="D570" s="23">
        <v>1</v>
      </c>
      <c r="E570" s="23">
        <v>3</v>
      </c>
      <c r="F570" s="23">
        <v>1</v>
      </c>
      <c r="G570" s="23">
        <v>1</v>
      </c>
      <c r="H570" s="23" t="s">
        <v>22</v>
      </c>
      <c r="I570" s="23" t="s">
        <v>22</v>
      </c>
      <c r="J570" s="23">
        <v>8</v>
      </c>
      <c r="K570" s="23"/>
      <c r="L570" s="23"/>
      <c r="M570" s="23"/>
      <c r="N570" s="24"/>
      <c r="O570" s="23" t="s">
        <v>22</v>
      </c>
      <c r="R570">
        <f t="shared" si="8"/>
        <v>1.6</v>
      </c>
    </row>
    <row r="571" spans="1:18" ht="15.75" thickBot="1">
      <c r="A571" s="35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4"/>
      <c r="O571" s="23"/>
      <c r="R571" t="e">
        <f t="shared" si="8"/>
        <v>#DIV/0!</v>
      </c>
    </row>
    <row r="572" spans="1:18" ht="15.75" thickBot="1">
      <c r="A572" s="35" t="s">
        <v>514</v>
      </c>
      <c r="B572" s="23" t="s">
        <v>849</v>
      </c>
      <c r="C572" s="23">
        <v>5</v>
      </c>
      <c r="D572" s="23">
        <v>2</v>
      </c>
      <c r="E572" s="23">
        <v>3</v>
      </c>
      <c r="F572" s="23" t="s">
        <v>633</v>
      </c>
      <c r="G572" s="23" t="s">
        <v>633</v>
      </c>
      <c r="H572" s="23" t="s">
        <v>22</v>
      </c>
      <c r="I572" s="23" t="s">
        <v>22</v>
      </c>
      <c r="J572" s="23" t="s">
        <v>22</v>
      </c>
      <c r="K572" s="23"/>
      <c r="L572" s="23"/>
      <c r="M572" s="23"/>
      <c r="N572" s="24"/>
      <c r="O572" s="23" t="s">
        <v>22</v>
      </c>
      <c r="R572" t="e">
        <f t="shared" si="8"/>
        <v>#VALUE!</v>
      </c>
    </row>
    <row r="573" spans="1:18" ht="15.75" thickBot="1">
      <c r="A573" s="35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4"/>
      <c r="O573" s="23"/>
      <c r="R573" t="e">
        <f t="shared" si="8"/>
        <v>#DIV/0!</v>
      </c>
    </row>
    <row r="574" spans="1:18" ht="15.75" thickBot="1">
      <c r="A574" s="35" t="s">
        <v>515</v>
      </c>
      <c r="B574" s="23" t="s">
        <v>850</v>
      </c>
      <c r="C574" s="23">
        <v>2</v>
      </c>
      <c r="D574" s="23" t="s">
        <v>22</v>
      </c>
      <c r="E574" s="23">
        <v>2</v>
      </c>
      <c r="F574" s="23" t="s">
        <v>22</v>
      </c>
      <c r="G574" s="23">
        <v>1</v>
      </c>
      <c r="H574" s="23" t="s">
        <v>22</v>
      </c>
      <c r="I574" s="23" t="s">
        <v>22</v>
      </c>
      <c r="J574" s="23" t="s">
        <v>22</v>
      </c>
      <c r="K574" s="23"/>
      <c r="L574" s="23"/>
      <c r="M574" s="23"/>
      <c r="N574" s="24"/>
      <c r="O574" s="23">
        <v>891</v>
      </c>
      <c r="R574" t="e">
        <f t="shared" si="8"/>
        <v>#VALUE!</v>
      </c>
    </row>
    <row r="575" spans="1:18" ht="15.75" thickBot="1">
      <c r="A575" s="35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4"/>
      <c r="O575" s="23"/>
      <c r="R575" t="e">
        <f t="shared" si="8"/>
        <v>#DIV/0!</v>
      </c>
    </row>
    <row r="576" spans="1:18" ht="15.75" thickBot="1">
      <c r="A576" s="35" t="s">
        <v>516</v>
      </c>
      <c r="B576" s="23" t="s">
        <v>710</v>
      </c>
      <c r="C576" s="23">
        <v>3</v>
      </c>
      <c r="D576" s="23">
        <v>1</v>
      </c>
      <c r="E576" s="23">
        <v>2</v>
      </c>
      <c r="F576" s="23">
        <v>1</v>
      </c>
      <c r="G576" s="23">
        <v>1</v>
      </c>
      <c r="H576" s="23" t="s">
        <v>22</v>
      </c>
      <c r="I576" s="23" t="s">
        <v>22</v>
      </c>
      <c r="J576" s="23">
        <v>5</v>
      </c>
      <c r="K576" s="23"/>
      <c r="L576" s="23"/>
      <c r="M576" s="23"/>
      <c r="N576" s="24"/>
      <c r="O576" s="23">
        <v>845</v>
      </c>
      <c r="R576">
        <f t="shared" si="8"/>
        <v>1.6666666666666667</v>
      </c>
    </row>
    <row r="577" spans="1:18" ht="15.75" thickBot="1">
      <c r="A577" s="35" t="s">
        <v>517</v>
      </c>
      <c r="B577" s="23" t="s">
        <v>851</v>
      </c>
      <c r="C577" s="23">
        <v>5</v>
      </c>
      <c r="D577" s="23">
        <v>1</v>
      </c>
      <c r="E577" s="23"/>
      <c r="F577" s="23">
        <v>1</v>
      </c>
      <c r="G577" s="23">
        <v>1</v>
      </c>
      <c r="H577" s="23" t="s">
        <v>22</v>
      </c>
      <c r="I577" s="23" t="s">
        <v>22</v>
      </c>
      <c r="J577" s="23">
        <v>6</v>
      </c>
      <c r="K577" s="23"/>
      <c r="L577" s="23"/>
      <c r="M577" s="23"/>
      <c r="N577" s="24"/>
      <c r="O577" s="23" t="s">
        <v>22</v>
      </c>
      <c r="R577">
        <f t="shared" si="8"/>
        <v>1.2</v>
      </c>
    </row>
    <row r="578" spans="1:18" ht="15.75" thickBot="1">
      <c r="A578" s="35" t="s">
        <v>518</v>
      </c>
      <c r="B578" s="23" t="s">
        <v>636</v>
      </c>
      <c r="C578" s="23">
        <v>5</v>
      </c>
      <c r="D578" s="23">
        <v>2</v>
      </c>
      <c r="E578" s="23">
        <v>3</v>
      </c>
      <c r="F578" s="23">
        <v>1</v>
      </c>
      <c r="G578" s="23">
        <v>1</v>
      </c>
      <c r="H578" s="23" t="s">
        <v>22</v>
      </c>
      <c r="I578" s="23" t="s">
        <v>22</v>
      </c>
      <c r="J578" s="23">
        <v>8</v>
      </c>
      <c r="K578" s="23"/>
      <c r="L578" s="23"/>
      <c r="M578" s="23"/>
      <c r="N578" s="24"/>
      <c r="O578" s="23">
        <v>293</v>
      </c>
      <c r="R578">
        <f t="shared" ref="R578:R641" si="9">J578/C578</f>
        <v>1.6</v>
      </c>
    </row>
    <row r="579" spans="1:18" ht="15.75" thickBot="1">
      <c r="A579" s="35" t="s">
        <v>519</v>
      </c>
      <c r="B579" s="23" t="s">
        <v>852</v>
      </c>
      <c r="C579" s="23">
        <v>5</v>
      </c>
      <c r="D579" s="23">
        <v>2</v>
      </c>
      <c r="E579" s="23">
        <v>3</v>
      </c>
      <c r="F579" s="23" t="s">
        <v>22</v>
      </c>
      <c r="G579" s="23">
        <v>1</v>
      </c>
      <c r="H579" s="23" t="s">
        <v>22</v>
      </c>
      <c r="I579" s="23">
        <v>1</v>
      </c>
      <c r="J579" s="25">
        <v>4.5</v>
      </c>
      <c r="K579" s="23"/>
      <c r="L579" s="23"/>
      <c r="M579" s="23"/>
      <c r="N579" s="24"/>
      <c r="O579" s="23" t="s">
        <v>51</v>
      </c>
      <c r="R579">
        <f t="shared" si="9"/>
        <v>0.9</v>
      </c>
    </row>
    <row r="580" spans="1:18" ht="15.75" thickBot="1">
      <c r="A580" s="35" t="s">
        <v>520</v>
      </c>
      <c r="B580" s="23" t="s">
        <v>853</v>
      </c>
      <c r="C580" s="23">
        <v>4</v>
      </c>
      <c r="D580" s="23">
        <v>2</v>
      </c>
      <c r="E580" s="23">
        <v>2</v>
      </c>
      <c r="F580" s="23">
        <v>1</v>
      </c>
      <c r="G580" s="23">
        <v>1</v>
      </c>
      <c r="H580" s="23" t="s">
        <v>22</v>
      </c>
      <c r="I580" s="23" t="s">
        <v>22</v>
      </c>
      <c r="J580" s="23">
        <v>4</v>
      </c>
      <c r="K580" s="23"/>
      <c r="L580" s="23"/>
      <c r="M580" s="23"/>
      <c r="N580" s="24"/>
      <c r="O580" s="23" t="s">
        <v>22</v>
      </c>
      <c r="R580">
        <f t="shared" si="9"/>
        <v>1</v>
      </c>
    </row>
    <row r="581" spans="1:18" ht="15.75" thickBot="1">
      <c r="A581" s="35" t="s">
        <v>521</v>
      </c>
      <c r="B581" s="23" t="s">
        <v>710</v>
      </c>
      <c r="C581" s="23">
        <v>7</v>
      </c>
      <c r="D581" s="23">
        <v>3</v>
      </c>
      <c r="E581" s="23">
        <v>4</v>
      </c>
      <c r="F581" s="23">
        <v>2</v>
      </c>
      <c r="G581" s="23">
        <v>3</v>
      </c>
      <c r="H581" s="23" t="s">
        <v>22</v>
      </c>
      <c r="I581" s="23">
        <v>1</v>
      </c>
      <c r="J581" s="23">
        <v>10</v>
      </c>
      <c r="K581" s="23"/>
      <c r="L581" s="23"/>
      <c r="M581" s="23"/>
      <c r="N581" s="24"/>
      <c r="O581" s="23">
        <v>854</v>
      </c>
      <c r="R581">
        <f t="shared" si="9"/>
        <v>1.4285714285714286</v>
      </c>
    </row>
    <row r="582" spans="1:18" ht="15.75" thickBot="1">
      <c r="A582" s="35" t="s">
        <v>522</v>
      </c>
      <c r="B582" s="23" t="s">
        <v>854</v>
      </c>
      <c r="C582" s="23">
        <v>5</v>
      </c>
      <c r="D582" s="23" t="s">
        <v>22</v>
      </c>
      <c r="E582" s="23">
        <v>5</v>
      </c>
      <c r="F582" s="23">
        <v>1</v>
      </c>
      <c r="G582" s="23">
        <v>1</v>
      </c>
      <c r="H582" s="23" t="s">
        <v>22</v>
      </c>
      <c r="I582" s="23" t="s">
        <v>22</v>
      </c>
      <c r="J582" s="23">
        <v>5</v>
      </c>
      <c r="K582" s="23"/>
      <c r="L582" s="23"/>
      <c r="M582" s="23"/>
      <c r="N582" s="24"/>
      <c r="O582" s="23">
        <v>254</v>
      </c>
      <c r="R582">
        <f t="shared" si="9"/>
        <v>1</v>
      </c>
    </row>
    <row r="583" spans="1:18" ht="15.75" thickBot="1">
      <c r="A583" s="35" t="s">
        <v>523</v>
      </c>
      <c r="B583" s="23" t="s">
        <v>855</v>
      </c>
      <c r="C583" s="23">
        <v>6</v>
      </c>
      <c r="D583" s="23">
        <v>2</v>
      </c>
      <c r="E583" s="23">
        <v>4</v>
      </c>
      <c r="F583" s="23">
        <v>1</v>
      </c>
      <c r="G583" s="23">
        <v>1</v>
      </c>
      <c r="H583" s="23" t="s">
        <v>22</v>
      </c>
      <c r="I583" s="23">
        <v>1</v>
      </c>
      <c r="J583" s="23">
        <v>9</v>
      </c>
      <c r="K583" s="23"/>
      <c r="L583" s="23"/>
      <c r="M583" s="23"/>
      <c r="N583" s="24"/>
      <c r="O583" s="23">
        <v>248</v>
      </c>
      <c r="R583">
        <f t="shared" si="9"/>
        <v>1.5</v>
      </c>
    </row>
    <row r="584" spans="1:18" ht="15.75" thickBot="1">
      <c r="A584" s="35" t="s">
        <v>524</v>
      </c>
      <c r="B584" s="23" t="s">
        <v>856</v>
      </c>
      <c r="C584" s="23">
        <v>6</v>
      </c>
      <c r="D584" s="23">
        <v>2</v>
      </c>
      <c r="E584" s="23">
        <v>4</v>
      </c>
      <c r="F584" s="23" t="s">
        <v>22</v>
      </c>
      <c r="G584" s="23">
        <v>1</v>
      </c>
      <c r="H584" s="23" t="s">
        <v>22</v>
      </c>
      <c r="I584" s="23" t="s">
        <v>22</v>
      </c>
      <c r="J584" s="23">
        <v>4</v>
      </c>
      <c r="K584" s="23"/>
      <c r="L584" s="23"/>
      <c r="M584" s="23"/>
      <c r="N584" s="24"/>
      <c r="O584" s="23" t="s">
        <v>22</v>
      </c>
      <c r="R584">
        <f t="shared" si="9"/>
        <v>0.66666666666666663</v>
      </c>
    </row>
    <row r="585" spans="1:18" ht="15.75" thickBot="1">
      <c r="A585" s="35" t="s">
        <v>525</v>
      </c>
      <c r="B585" s="23" t="s">
        <v>857</v>
      </c>
      <c r="C585" s="23">
        <v>7</v>
      </c>
      <c r="D585" s="23">
        <v>3</v>
      </c>
      <c r="E585" s="23">
        <v>4</v>
      </c>
      <c r="F585" s="23">
        <v>1</v>
      </c>
      <c r="G585" s="23">
        <v>1</v>
      </c>
      <c r="H585" s="23" t="s">
        <v>22</v>
      </c>
      <c r="I585" s="23" t="s">
        <v>22</v>
      </c>
      <c r="J585" s="23">
        <v>9</v>
      </c>
      <c r="K585" s="23"/>
      <c r="L585" s="23"/>
      <c r="M585" s="23"/>
      <c r="N585" s="24"/>
      <c r="O585" s="23" t="s">
        <v>22</v>
      </c>
      <c r="R585">
        <f t="shared" si="9"/>
        <v>1.2857142857142858</v>
      </c>
    </row>
    <row r="586" spans="1:18" ht="15.75" thickBot="1">
      <c r="A586" s="35" t="s">
        <v>526</v>
      </c>
      <c r="B586" s="23" t="s">
        <v>858</v>
      </c>
      <c r="C586" s="23">
        <v>4</v>
      </c>
      <c r="D586" s="23">
        <v>2</v>
      </c>
      <c r="E586" s="23">
        <v>2</v>
      </c>
      <c r="F586" s="23">
        <v>2</v>
      </c>
      <c r="G586" s="23">
        <v>1</v>
      </c>
      <c r="H586" s="23" t="s">
        <v>22</v>
      </c>
      <c r="I586" s="23">
        <v>1</v>
      </c>
      <c r="J586" s="23">
        <v>8</v>
      </c>
      <c r="K586" s="23"/>
      <c r="L586" s="23"/>
      <c r="M586" s="23"/>
      <c r="N586" s="24"/>
      <c r="O586" s="23">
        <v>5</v>
      </c>
      <c r="R586">
        <f t="shared" si="9"/>
        <v>2</v>
      </c>
    </row>
    <row r="587" spans="1:18" ht="15.75" thickBot="1">
      <c r="A587" s="35" t="s">
        <v>527</v>
      </c>
      <c r="B587" s="23" t="s">
        <v>859</v>
      </c>
      <c r="C587" s="23">
        <v>4</v>
      </c>
      <c r="D587" s="23" t="s">
        <v>22</v>
      </c>
      <c r="E587" s="23">
        <v>4</v>
      </c>
      <c r="F587" s="23">
        <v>1</v>
      </c>
      <c r="G587" s="23">
        <v>1</v>
      </c>
      <c r="H587" s="23" t="s">
        <v>22</v>
      </c>
      <c r="I587" s="23" t="s">
        <v>22</v>
      </c>
      <c r="J587" s="23">
        <v>8</v>
      </c>
      <c r="K587" s="23"/>
      <c r="L587" s="23"/>
      <c r="M587" s="23"/>
      <c r="N587" s="24"/>
      <c r="O587" s="23">
        <v>761</v>
      </c>
      <c r="R587">
        <f t="shared" si="9"/>
        <v>2</v>
      </c>
    </row>
    <row r="588" spans="1:18" ht="26.25" thickBot="1">
      <c r="A588" s="35" t="s">
        <v>528</v>
      </c>
      <c r="B588" s="23" t="s">
        <v>860</v>
      </c>
      <c r="C588" s="23">
        <v>7</v>
      </c>
      <c r="D588" s="23" t="s">
        <v>22</v>
      </c>
      <c r="E588" s="23"/>
      <c r="F588" s="23">
        <v>1</v>
      </c>
      <c r="G588" s="23">
        <v>1</v>
      </c>
      <c r="H588" s="23" t="s">
        <v>22</v>
      </c>
      <c r="I588" s="23" t="s">
        <v>22</v>
      </c>
      <c r="J588" s="23">
        <v>8</v>
      </c>
      <c r="K588" s="23"/>
      <c r="L588" s="23"/>
      <c r="M588" s="23"/>
      <c r="N588" s="24" t="s">
        <v>861</v>
      </c>
      <c r="O588" s="23">
        <v>697</v>
      </c>
      <c r="R588">
        <f t="shared" si="9"/>
        <v>1.1428571428571428</v>
      </c>
    </row>
    <row r="589" spans="1:18" ht="15.75" thickBot="1">
      <c r="A589" s="35" t="s">
        <v>529</v>
      </c>
      <c r="B589" s="23" t="s">
        <v>862</v>
      </c>
      <c r="C589" s="23">
        <v>7</v>
      </c>
      <c r="D589" s="23">
        <v>3</v>
      </c>
      <c r="E589" s="23">
        <v>4</v>
      </c>
      <c r="F589" s="23">
        <v>1</v>
      </c>
      <c r="G589" s="23">
        <v>2</v>
      </c>
      <c r="H589" s="23" t="s">
        <v>22</v>
      </c>
      <c r="I589" s="23" t="s">
        <v>22</v>
      </c>
      <c r="J589" s="23">
        <v>9</v>
      </c>
      <c r="K589" s="23"/>
      <c r="L589" s="23"/>
      <c r="M589" s="23"/>
      <c r="N589" s="24"/>
      <c r="O589" s="23">
        <v>223</v>
      </c>
      <c r="R589">
        <f t="shared" si="9"/>
        <v>1.2857142857142858</v>
      </c>
    </row>
    <row r="590" spans="1:18" ht="15.75" thickBot="1">
      <c r="A590" s="35" t="s">
        <v>530</v>
      </c>
      <c r="B590" s="23" t="s">
        <v>863</v>
      </c>
      <c r="C590" s="23">
        <v>2</v>
      </c>
      <c r="D590" s="23">
        <v>2</v>
      </c>
      <c r="E590" s="23" t="s">
        <v>22</v>
      </c>
      <c r="F590" s="23">
        <v>1</v>
      </c>
      <c r="G590" s="23">
        <v>1</v>
      </c>
      <c r="H590" s="23" t="s">
        <v>22</v>
      </c>
      <c r="I590" s="23" t="s">
        <v>22</v>
      </c>
      <c r="J590" s="23" t="s">
        <v>648</v>
      </c>
      <c r="K590" s="23"/>
      <c r="L590" s="23"/>
      <c r="M590" s="23"/>
      <c r="N590" s="24"/>
      <c r="O590" s="23">
        <v>62</v>
      </c>
      <c r="R590" t="e">
        <f t="shared" si="9"/>
        <v>#VALUE!</v>
      </c>
    </row>
    <row r="591" spans="1:18" ht="15.75" thickBot="1">
      <c r="A591" s="35" t="s">
        <v>531</v>
      </c>
      <c r="B591" s="23" t="s">
        <v>864</v>
      </c>
      <c r="C591" s="23">
        <v>6</v>
      </c>
      <c r="D591" s="23" t="s">
        <v>22</v>
      </c>
      <c r="E591" s="23">
        <v>6</v>
      </c>
      <c r="F591" s="23">
        <v>1</v>
      </c>
      <c r="G591" s="23">
        <v>1</v>
      </c>
      <c r="H591" s="23" t="s">
        <v>22</v>
      </c>
      <c r="I591" s="23" t="s">
        <v>22</v>
      </c>
      <c r="J591" s="23">
        <v>7</v>
      </c>
      <c r="K591" s="23"/>
      <c r="L591" s="23"/>
      <c r="M591" s="23"/>
      <c r="N591" s="24"/>
      <c r="O591" s="23" t="s">
        <v>22</v>
      </c>
      <c r="R591">
        <f t="shared" si="9"/>
        <v>1.1666666666666667</v>
      </c>
    </row>
    <row r="592" spans="1:18" ht="15.75" thickBot="1">
      <c r="A592" s="35" t="s">
        <v>532</v>
      </c>
      <c r="B592" s="23" t="s">
        <v>643</v>
      </c>
      <c r="C592" s="23">
        <v>7</v>
      </c>
      <c r="D592" s="23">
        <v>1</v>
      </c>
      <c r="E592" s="23">
        <v>6</v>
      </c>
      <c r="F592" s="23">
        <v>3</v>
      </c>
      <c r="G592" s="23">
        <v>1</v>
      </c>
      <c r="H592" s="23" t="s">
        <v>22</v>
      </c>
      <c r="I592" s="23">
        <v>3</v>
      </c>
      <c r="J592" s="23">
        <v>12</v>
      </c>
      <c r="K592" s="23"/>
      <c r="L592" s="23"/>
      <c r="M592" s="23"/>
      <c r="N592" s="24"/>
      <c r="O592" s="23" t="s">
        <v>22</v>
      </c>
      <c r="R592">
        <f t="shared" si="9"/>
        <v>1.7142857142857142</v>
      </c>
    </row>
    <row r="593" spans="1:18" ht="15.75" thickBot="1">
      <c r="A593" s="35" t="s">
        <v>533</v>
      </c>
      <c r="B593" s="23" t="s">
        <v>865</v>
      </c>
      <c r="C593" s="23">
        <v>3</v>
      </c>
      <c r="D593" s="23">
        <v>1</v>
      </c>
      <c r="E593" s="23">
        <v>2</v>
      </c>
      <c r="F593" s="23">
        <v>1</v>
      </c>
      <c r="G593" s="23">
        <v>1</v>
      </c>
      <c r="H593" s="23" t="s">
        <v>22</v>
      </c>
      <c r="I593" s="23" t="s">
        <v>22</v>
      </c>
      <c r="J593" s="23">
        <v>6</v>
      </c>
      <c r="K593" s="23"/>
      <c r="L593" s="23"/>
      <c r="M593" s="23"/>
      <c r="N593" s="24"/>
      <c r="O593" s="23">
        <v>221</v>
      </c>
      <c r="R593">
        <f t="shared" si="9"/>
        <v>2</v>
      </c>
    </row>
    <row r="594" spans="1:18" ht="15.75" thickBot="1">
      <c r="A594" s="35" t="s">
        <v>534</v>
      </c>
      <c r="B594" s="23" t="s">
        <v>710</v>
      </c>
      <c r="C594" s="23">
        <v>4</v>
      </c>
      <c r="D594" s="23">
        <v>1</v>
      </c>
      <c r="E594" s="23">
        <v>3</v>
      </c>
      <c r="F594" s="23">
        <v>2</v>
      </c>
      <c r="G594" s="23">
        <v>1</v>
      </c>
      <c r="H594" s="23" t="s">
        <v>22</v>
      </c>
      <c r="I594" s="23">
        <v>1</v>
      </c>
      <c r="J594" s="23">
        <v>12</v>
      </c>
      <c r="K594" s="23"/>
      <c r="L594" s="23"/>
      <c r="M594" s="23"/>
      <c r="N594" s="24"/>
      <c r="O594" s="23" t="s">
        <v>22</v>
      </c>
      <c r="R594">
        <f t="shared" si="9"/>
        <v>3</v>
      </c>
    </row>
    <row r="595" spans="1:18" ht="15.75" thickBot="1">
      <c r="A595" s="35" t="s">
        <v>535</v>
      </c>
      <c r="B595" s="23" t="s">
        <v>710</v>
      </c>
      <c r="C595" s="23">
        <v>3</v>
      </c>
      <c r="D595" s="23">
        <v>2</v>
      </c>
      <c r="E595" s="23">
        <v>1</v>
      </c>
      <c r="F595" s="23" t="s">
        <v>22</v>
      </c>
      <c r="G595" s="23">
        <v>1</v>
      </c>
      <c r="H595" s="23" t="s">
        <v>22</v>
      </c>
      <c r="I595" s="23" t="s">
        <v>22</v>
      </c>
      <c r="J595" s="23">
        <v>4</v>
      </c>
      <c r="K595" s="23"/>
      <c r="L595" s="23"/>
      <c r="M595" s="23"/>
      <c r="N595" s="24"/>
      <c r="O595" s="23" t="s">
        <v>51</v>
      </c>
      <c r="R595">
        <f t="shared" si="9"/>
        <v>1.3333333333333333</v>
      </c>
    </row>
    <row r="596" spans="1:18" ht="15.75" thickBot="1">
      <c r="A596" s="35" t="s">
        <v>536</v>
      </c>
      <c r="B596" s="23" t="s">
        <v>866</v>
      </c>
      <c r="C596" s="23">
        <v>5</v>
      </c>
      <c r="D596" s="23">
        <v>1</v>
      </c>
      <c r="E596" s="23">
        <v>4</v>
      </c>
      <c r="F596" s="23">
        <v>1</v>
      </c>
      <c r="G596" s="23">
        <v>1</v>
      </c>
      <c r="H596" s="23" t="s">
        <v>22</v>
      </c>
      <c r="I596" s="23" t="s">
        <v>22</v>
      </c>
      <c r="J596" s="23">
        <v>12</v>
      </c>
      <c r="K596" s="23"/>
      <c r="L596" s="23"/>
      <c r="M596" s="23"/>
      <c r="N596" s="24"/>
      <c r="O596" s="23">
        <v>64</v>
      </c>
      <c r="R596">
        <f t="shared" si="9"/>
        <v>2.4</v>
      </c>
    </row>
    <row r="597" spans="1:18" ht="15.75" thickBot="1">
      <c r="A597" s="35" t="s">
        <v>537</v>
      </c>
      <c r="B597" s="23" t="s">
        <v>636</v>
      </c>
      <c r="C597" s="23">
        <v>5</v>
      </c>
      <c r="D597" s="23">
        <v>2</v>
      </c>
      <c r="E597" s="23">
        <v>3</v>
      </c>
      <c r="F597" s="23">
        <v>1</v>
      </c>
      <c r="G597" s="23">
        <v>1</v>
      </c>
      <c r="H597" s="23" t="s">
        <v>22</v>
      </c>
      <c r="I597" s="23" t="s">
        <v>22</v>
      </c>
      <c r="J597" s="23">
        <v>8</v>
      </c>
      <c r="K597" s="23"/>
      <c r="L597" s="23"/>
      <c r="M597" s="23"/>
      <c r="N597" s="24"/>
      <c r="O597" s="23">
        <v>303</v>
      </c>
      <c r="R597">
        <f t="shared" si="9"/>
        <v>1.6</v>
      </c>
    </row>
    <row r="598" spans="1:18" ht="15.75" thickBot="1">
      <c r="A598" s="35" t="s">
        <v>538</v>
      </c>
      <c r="B598" s="23" t="s">
        <v>670</v>
      </c>
      <c r="C598" s="23">
        <v>4</v>
      </c>
      <c r="D598" s="23">
        <v>1</v>
      </c>
      <c r="E598" s="23">
        <v>3</v>
      </c>
      <c r="F598" s="23">
        <v>1</v>
      </c>
      <c r="G598" s="23">
        <v>1</v>
      </c>
      <c r="H598" s="23" t="s">
        <v>22</v>
      </c>
      <c r="I598" s="23" t="s">
        <v>22</v>
      </c>
      <c r="J598" s="23">
        <v>4</v>
      </c>
      <c r="K598" s="23"/>
      <c r="L598" s="23"/>
      <c r="M598" s="23"/>
      <c r="N598" s="24"/>
      <c r="O598" s="23" t="s">
        <v>22</v>
      </c>
      <c r="R598">
        <f t="shared" si="9"/>
        <v>1</v>
      </c>
    </row>
    <row r="599" spans="1:18" ht="15.75" thickBot="1">
      <c r="A599" s="35" t="s">
        <v>539</v>
      </c>
      <c r="B599" s="23" t="s">
        <v>867</v>
      </c>
      <c r="C599" s="23">
        <v>12</v>
      </c>
      <c r="D599" s="23">
        <v>5</v>
      </c>
      <c r="E599" s="23">
        <v>7</v>
      </c>
      <c r="F599" s="23">
        <v>2</v>
      </c>
      <c r="G599" s="23">
        <v>3</v>
      </c>
      <c r="H599" s="23" t="s">
        <v>22</v>
      </c>
      <c r="I599" s="23">
        <v>2</v>
      </c>
      <c r="J599" s="23">
        <v>24</v>
      </c>
      <c r="K599" s="23"/>
      <c r="L599" s="23"/>
      <c r="M599" s="23"/>
      <c r="N599" s="24"/>
      <c r="O599" s="23">
        <v>253</v>
      </c>
      <c r="R599">
        <f t="shared" si="9"/>
        <v>2</v>
      </c>
    </row>
    <row r="600" spans="1:18" ht="15.75" thickBot="1">
      <c r="A600" s="35" t="s">
        <v>540</v>
      </c>
      <c r="B600" s="23" t="s">
        <v>670</v>
      </c>
      <c r="C600" s="23">
        <v>7</v>
      </c>
      <c r="D600" s="23">
        <v>4</v>
      </c>
      <c r="E600" s="23">
        <v>3</v>
      </c>
      <c r="F600" s="23">
        <v>1</v>
      </c>
      <c r="G600" s="23">
        <v>1</v>
      </c>
      <c r="H600" s="23" t="s">
        <v>22</v>
      </c>
      <c r="I600" s="23">
        <v>3</v>
      </c>
      <c r="J600" s="23">
        <v>12</v>
      </c>
      <c r="K600" s="23"/>
      <c r="L600" s="23"/>
      <c r="M600" s="23"/>
      <c r="N600" s="24"/>
      <c r="O600" s="23">
        <v>835</v>
      </c>
      <c r="R600">
        <f t="shared" si="9"/>
        <v>1.7142857142857142</v>
      </c>
    </row>
    <row r="601" spans="1:18" ht="15.75" thickBot="1">
      <c r="A601" s="35" t="s">
        <v>541</v>
      </c>
      <c r="B601" s="23" t="s">
        <v>868</v>
      </c>
      <c r="C601" s="23">
        <v>8</v>
      </c>
      <c r="D601" s="23">
        <v>2</v>
      </c>
      <c r="E601" s="23">
        <v>6</v>
      </c>
      <c r="F601" s="23">
        <v>2</v>
      </c>
      <c r="G601" s="23">
        <v>1</v>
      </c>
      <c r="H601" s="23" t="s">
        <v>22</v>
      </c>
      <c r="I601" s="23" t="s">
        <v>22</v>
      </c>
      <c r="J601" s="23">
        <v>12</v>
      </c>
      <c r="K601" s="23"/>
      <c r="L601" s="23"/>
      <c r="M601" s="23"/>
      <c r="N601" s="24"/>
      <c r="O601" s="23">
        <v>746</v>
      </c>
      <c r="R601">
        <f t="shared" si="9"/>
        <v>1.5</v>
      </c>
    </row>
    <row r="602" spans="1:18" ht="15.75" thickBot="1">
      <c r="A602" s="35" t="s">
        <v>542</v>
      </c>
      <c r="B602" s="23" t="s">
        <v>869</v>
      </c>
      <c r="C602" s="23">
        <v>2</v>
      </c>
      <c r="D602" s="23">
        <v>2</v>
      </c>
      <c r="E602" s="23" t="s">
        <v>22</v>
      </c>
      <c r="F602" s="23">
        <v>1</v>
      </c>
      <c r="G602" s="23">
        <v>1</v>
      </c>
      <c r="H602" s="23" t="s">
        <v>22</v>
      </c>
      <c r="I602" s="23" t="s">
        <v>22</v>
      </c>
      <c r="J602" s="25">
        <v>4.5</v>
      </c>
      <c r="K602" s="23"/>
      <c r="L602" s="23"/>
      <c r="M602" s="23"/>
      <c r="N602" s="24"/>
      <c r="O602" s="23">
        <v>219</v>
      </c>
      <c r="R602">
        <f t="shared" si="9"/>
        <v>2.25</v>
      </c>
    </row>
    <row r="603" spans="1:18" ht="15.75" thickBot="1">
      <c r="A603" s="35" t="s">
        <v>543</v>
      </c>
      <c r="B603" s="23" t="s">
        <v>870</v>
      </c>
      <c r="C603" s="23">
        <v>7</v>
      </c>
      <c r="D603" s="23">
        <v>3</v>
      </c>
      <c r="E603" s="23">
        <v>4</v>
      </c>
      <c r="F603" s="23" t="s">
        <v>22</v>
      </c>
      <c r="G603" s="23">
        <v>1</v>
      </c>
      <c r="H603" s="23" t="s">
        <v>22</v>
      </c>
      <c r="I603" s="23" t="s">
        <v>22</v>
      </c>
      <c r="J603" s="23">
        <v>8</v>
      </c>
      <c r="K603" s="23"/>
      <c r="L603" s="23"/>
      <c r="M603" s="23"/>
      <c r="N603" s="24"/>
      <c r="O603" s="23">
        <v>243</v>
      </c>
      <c r="R603">
        <f t="shared" si="9"/>
        <v>1.1428571428571428</v>
      </c>
    </row>
    <row r="604" spans="1:18" ht="15.75" thickBot="1">
      <c r="A604" s="35" t="s">
        <v>544</v>
      </c>
      <c r="B604" s="23" t="s">
        <v>710</v>
      </c>
      <c r="C604" s="23">
        <v>3</v>
      </c>
      <c r="D604" s="23">
        <v>2</v>
      </c>
      <c r="E604" s="23">
        <v>1</v>
      </c>
      <c r="F604" s="23">
        <v>1</v>
      </c>
      <c r="G604" s="23">
        <v>1</v>
      </c>
      <c r="H604" s="23" t="s">
        <v>22</v>
      </c>
      <c r="I604" s="23" t="s">
        <v>22</v>
      </c>
      <c r="J604" s="23">
        <v>4</v>
      </c>
      <c r="K604" s="23"/>
      <c r="L604" s="23"/>
      <c r="M604" s="23"/>
      <c r="N604" s="24"/>
      <c r="O604" s="23">
        <v>853</v>
      </c>
      <c r="R604">
        <f t="shared" si="9"/>
        <v>1.3333333333333333</v>
      </c>
    </row>
    <row r="605" spans="1:18" ht="15.75" thickBot="1">
      <c r="A605" s="35" t="s">
        <v>545</v>
      </c>
      <c r="B605" s="23" t="s">
        <v>871</v>
      </c>
      <c r="C605" s="23">
        <v>6</v>
      </c>
      <c r="D605" s="23">
        <v>2</v>
      </c>
      <c r="E605" s="23">
        <v>4</v>
      </c>
      <c r="F605" s="23">
        <v>1</v>
      </c>
      <c r="G605" s="23">
        <v>1</v>
      </c>
      <c r="H605" s="23" t="s">
        <v>22</v>
      </c>
      <c r="I605" s="23" t="s">
        <v>22</v>
      </c>
      <c r="J605" s="23">
        <v>5</v>
      </c>
      <c r="K605" s="23"/>
      <c r="L605" s="23"/>
      <c r="M605" s="23"/>
      <c r="N605" s="24"/>
      <c r="O605" s="23">
        <v>197</v>
      </c>
      <c r="R605">
        <f t="shared" si="9"/>
        <v>0.83333333333333337</v>
      </c>
    </row>
    <row r="606" spans="1:18" ht="15.75" thickBot="1">
      <c r="A606" s="35" t="s">
        <v>546</v>
      </c>
      <c r="B606" s="23" t="s">
        <v>670</v>
      </c>
      <c r="C606" s="23">
        <v>7</v>
      </c>
      <c r="D606" s="23">
        <v>2</v>
      </c>
      <c r="E606" s="23">
        <v>5</v>
      </c>
      <c r="F606" s="23" t="s">
        <v>22</v>
      </c>
      <c r="G606" s="23">
        <v>1</v>
      </c>
      <c r="H606" s="23" t="s">
        <v>22</v>
      </c>
      <c r="I606" s="23" t="s">
        <v>22</v>
      </c>
      <c r="J606" s="23">
        <v>7</v>
      </c>
      <c r="K606" s="23"/>
      <c r="L606" s="23"/>
      <c r="M606" s="23"/>
      <c r="N606" s="24"/>
      <c r="O606" s="23">
        <v>831</v>
      </c>
      <c r="R606">
        <f t="shared" si="9"/>
        <v>1</v>
      </c>
    </row>
    <row r="607" spans="1:18" ht="15.75" thickBot="1">
      <c r="A607" s="35" t="s">
        <v>547</v>
      </c>
      <c r="B607" s="23" t="s">
        <v>872</v>
      </c>
      <c r="C607" s="23">
        <v>3</v>
      </c>
      <c r="D607" s="23">
        <v>1</v>
      </c>
      <c r="E607" s="23">
        <v>2</v>
      </c>
      <c r="F607" s="23">
        <v>1</v>
      </c>
      <c r="G607" s="23">
        <v>1</v>
      </c>
      <c r="H607" s="23" t="s">
        <v>22</v>
      </c>
      <c r="I607" s="23" t="s">
        <v>22</v>
      </c>
      <c r="J607" s="23">
        <v>6</v>
      </c>
      <c r="K607" s="23"/>
      <c r="L607" s="23"/>
      <c r="M607" s="23"/>
      <c r="N607" s="24"/>
      <c r="O607" s="23" t="s">
        <v>22</v>
      </c>
      <c r="R607">
        <f t="shared" si="9"/>
        <v>2</v>
      </c>
    </row>
    <row r="608" spans="1:18" ht="15.75" thickBot="1">
      <c r="A608" s="35" t="s">
        <v>548</v>
      </c>
      <c r="B608" s="23" t="s">
        <v>873</v>
      </c>
      <c r="C608" s="23">
        <v>9</v>
      </c>
      <c r="D608" s="23">
        <v>3</v>
      </c>
      <c r="E608" s="23">
        <v>6</v>
      </c>
      <c r="F608" s="23">
        <v>2</v>
      </c>
      <c r="G608" s="23">
        <v>2</v>
      </c>
      <c r="H608" s="23" t="s">
        <v>22</v>
      </c>
      <c r="I608" s="23" t="s">
        <v>22</v>
      </c>
      <c r="J608" s="23">
        <v>12</v>
      </c>
      <c r="K608" s="23"/>
      <c r="L608" s="23"/>
      <c r="M608" s="23"/>
      <c r="N608" s="24"/>
      <c r="O608" s="23" t="s">
        <v>22</v>
      </c>
      <c r="R608">
        <f t="shared" si="9"/>
        <v>1.3333333333333333</v>
      </c>
    </row>
    <row r="609" spans="1:18" ht="15.75" thickBot="1">
      <c r="A609" s="35" t="s">
        <v>549</v>
      </c>
      <c r="B609" s="23" t="s">
        <v>874</v>
      </c>
      <c r="C609" s="23">
        <v>6</v>
      </c>
      <c r="D609" s="23">
        <v>1</v>
      </c>
      <c r="E609" s="23">
        <v>5</v>
      </c>
      <c r="F609" s="23">
        <v>2</v>
      </c>
      <c r="G609" s="23">
        <v>1</v>
      </c>
      <c r="H609" s="23" t="s">
        <v>22</v>
      </c>
      <c r="I609" s="23" t="s">
        <v>22</v>
      </c>
      <c r="J609" s="23">
        <v>6</v>
      </c>
      <c r="K609" s="23"/>
      <c r="L609" s="23"/>
      <c r="M609" s="23"/>
      <c r="N609" s="24"/>
      <c r="O609" s="23">
        <v>68</v>
      </c>
      <c r="R609">
        <f t="shared" si="9"/>
        <v>1</v>
      </c>
    </row>
    <row r="610" spans="1:18" ht="15.75" thickBot="1">
      <c r="A610" s="35" t="s">
        <v>550</v>
      </c>
      <c r="B610" s="23" t="s">
        <v>630</v>
      </c>
      <c r="C610" s="23">
        <v>6</v>
      </c>
      <c r="D610" s="23">
        <v>3</v>
      </c>
      <c r="E610" s="23">
        <v>3</v>
      </c>
      <c r="F610" s="23">
        <v>1</v>
      </c>
      <c r="G610" s="23">
        <v>1</v>
      </c>
      <c r="H610" s="23" t="s">
        <v>22</v>
      </c>
      <c r="I610" s="23">
        <v>1</v>
      </c>
      <c r="J610" s="23">
        <v>9</v>
      </c>
      <c r="K610" s="23"/>
      <c r="L610" s="23"/>
      <c r="M610" s="23"/>
      <c r="N610" s="24"/>
      <c r="O610" s="23">
        <v>505</v>
      </c>
      <c r="R610">
        <f t="shared" si="9"/>
        <v>1.5</v>
      </c>
    </row>
    <row r="611" spans="1:18" ht="15.75" thickBot="1">
      <c r="A611" s="35" t="s">
        <v>551</v>
      </c>
      <c r="B611" s="23" t="s">
        <v>875</v>
      </c>
      <c r="C611" s="23">
        <v>4</v>
      </c>
      <c r="D611" s="23">
        <v>1</v>
      </c>
      <c r="E611" s="23">
        <v>3</v>
      </c>
      <c r="F611" s="23" t="s">
        <v>22</v>
      </c>
      <c r="G611" s="23">
        <v>1</v>
      </c>
      <c r="H611" s="23" t="s">
        <v>22</v>
      </c>
      <c r="I611" s="23" t="s">
        <v>22</v>
      </c>
      <c r="J611" s="23">
        <v>4</v>
      </c>
      <c r="K611" s="23"/>
      <c r="L611" s="23"/>
      <c r="M611" s="23"/>
      <c r="N611" s="24"/>
      <c r="O611" s="23" t="s">
        <v>22</v>
      </c>
      <c r="R611">
        <f t="shared" si="9"/>
        <v>1</v>
      </c>
    </row>
    <row r="612" spans="1:18" ht="15.75" thickBot="1">
      <c r="A612" s="35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4"/>
      <c r="O612" s="23"/>
      <c r="R612" t="e">
        <f t="shared" si="9"/>
        <v>#DIV/0!</v>
      </c>
    </row>
    <row r="613" spans="1:18" ht="15.75" thickBot="1">
      <c r="A613" s="35" t="s">
        <v>552</v>
      </c>
      <c r="B613" s="23" t="s">
        <v>876</v>
      </c>
      <c r="C613" s="23">
        <v>3</v>
      </c>
      <c r="D613" s="23">
        <v>1</v>
      </c>
      <c r="E613" s="23">
        <v>2</v>
      </c>
      <c r="F613" s="23">
        <v>1</v>
      </c>
      <c r="G613" s="23">
        <v>1</v>
      </c>
      <c r="H613" s="23" t="s">
        <v>22</v>
      </c>
      <c r="I613" s="23" t="s">
        <v>22</v>
      </c>
      <c r="J613" s="23">
        <v>4</v>
      </c>
      <c r="K613" s="23"/>
      <c r="L613" s="23"/>
      <c r="M613" s="23"/>
      <c r="N613" s="24"/>
      <c r="O613" s="23">
        <v>733</v>
      </c>
      <c r="R613">
        <f t="shared" si="9"/>
        <v>1.3333333333333333</v>
      </c>
    </row>
    <row r="614" spans="1:18" ht="15.75" thickBot="1">
      <c r="A614" s="35" t="s">
        <v>553</v>
      </c>
      <c r="B614" s="23" t="s">
        <v>877</v>
      </c>
      <c r="C614" s="23">
        <v>4</v>
      </c>
      <c r="D614" s="23">
        <v>2</v>
      </c>
      <c r="E614" s="23">
        <v>2</v>
      </c>
      <c r="F614" s="23">
        <v>1</v>
      </c>
      <c r="G614" s="23">
        <v>1</v>
      </c>
      <c r="H614" s="23" t="s">
        <v>22</v>
      </c>
      <c r="I614" s="23">
        <v>1</v>
      </c>
      <c r="J614" s="23">
        <v>4</v>
      </c>
      <c r="K614" s="23"/>
      <c r="L614" s="23"/>
      <c r="M614" s="23"/>
      <c r="N614" s="24"/>
      <c r="O614" s="23">
        <v>7</v>
      </c>
      <c r="R614">
        <f t="shared" si="9"/>
        <v>1</v>
      </c>
    </row>
    <row r="615" spans="1:18" ht="15.75" thickBot="1">
      <c r="A615" s="35" t="s">
        <v>554</v>
      </c>
      <c r="B615" s="23" t="s">
        <v>710</v>
      </c>
      <c r="C615" s="23">
        <v>3</v>
      </c>
      <c r="D615" s="23" t="s">
        <v>22</v>
      </c>
      <c r="E615" s="23">
        <v>3</v>
      </c>
      <c r="F615" s="23">
        <v>1</v>
      </c>
      <c r="G615" s="23">
        <v>1</v>
      </c>
      <c r="H615" s="23" t="s">
        <v>22</v>
      </c>
      <c r="I615" s="23" t="s">
        <v>22</v>
      </c>
      <c r="J615" s="23">
        <v>4</v>
      </c>
      <c r="K615" s="23"/>
      <c r="L615" s="23"/>
      <c r="M615" s="23"/>
      <c r="N615" s="24"/>
      <c r="O615" s="23">
        <v>852</v>
      </c>
      <c r="R615">
        <f t="shared" si="9"/>
        <v>1.3333333333333333</v>
      </c>
    </row>
    <row r="616" spans="1:18" ht="15.75" thickBot="1">
      <c r="A616" s="35" t="s">
        <v>555</v>
      </c>
      <c r="B616" s="23" t="s">
        <v>878</v>
      </c>
      <c r="C616" s="23">
        <v>4</v>
      </c>
      <c r="D616" s="23" t="s">
        <v>22</v>
      </c>
      <c r="E616" s="23"/>
      <c r="F616" s="23">
        <v>1</v>
      </c>
      <c r="G616" s="23">
        <v>1</v>
      </c>
      <c r="H616" s="23" t="s">
        <v>22</v>
      </c>
      <c r="I616" s="23" t="s">
        <v>22</v>
      </c>
      <c r="J616" s="23" t="s">
        <v>639</v>
      </c>
      <c r="K616" s="23"/>
      <c r="L616" s="23"/>
      <c r="M616" s="23"/>
      <c r="N616" s="24" t="s">
        <v>757</v>
      </c>
      <c r="O616" s="23" t="s">
        <v>22</v>
      </c>
      <c r="R616" t="e">
        <f t="shared" si="9"/>
        <v>#VALUE!</v>
      </c>
    </row>
    <row r="617" spans="1:18" ht="15.75" thickBot="1">
      <c r="A617" s="35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4"/>
      <c r="O617" s="23"/>
      <c r="R617" t="e">
        <f t="shared" si="9"/>
        <v>#DIV/0!</v>
      </c>
    </row>
    <row r="618" spans="1:18" ht="15.75" thickBot="1">
      <c r="A618" s="35" t="s">
        <v>556</v>
      </c>
      <c r="B618" s="23" t="s">
        <v>630</v>
      </c>
      <c r="C618" s="23">
        <v>5</v>
      </c>
      <c r="D618" s="23">
        <v>1</v>
      </c>
      <c r="E618" s="23">
        <v>4</v>
      </c>
      <c r="F618" s="23">
        <v>1</v>
      </c>
      <c r="G618" s="23">
        <v>1</v>
      </c>
      <c r="H618" s="23" t="s">
        <v>22</v>
      </c>
      <c r="I618" s="23" t="s">
        <v>22</v>
      </c>
      <c r="J618" s="23">
        <v>6</v>
      </c>
      <c r="K618" s="23"/>
      <c r="L618" s="23"/>
      <c r="M618" s="23"/>
      <c r="N618" s="24"/>
      <c r="O618" s="23">
        <v>480</v>
      </c>
      <c r="R618">
        <f t="shared" si="9"/>
        <v>1.2</v>
      </c>
    </row>
    <row r="619" spans="1:18" ht="15.75" thickBot="1">
      <c r="A619" s="35" t="s">
        <v>557</v>
      </c>
      <c r="B619" s="23" t="s">
        <v>879</v>
      </c>
      <c r="C619" s="23">
        <v>11</v>
      </c>
      <c r="D619" s="23">
        <v>3</v>
      </c>
      <c r="E619" s="23">
        <v>8</v>
      </c>
      <c r="F619" s="23">
        <v>2</v>
      </c>
      <c r="G619" s="23">
        <v>1</v>
      </c>
      <c r="H619" s="23" t="s">
        <v>22</v>
      </c>
      <c r="I619" s="23" t="s">
        <v>22</v>
      </c>
      <c r="J619" s="23">
        <v>5</v>
      </c>
      <c r="K619" s="23"/>
      <c r="L619" s="23"/>
      <c r="M619" s="23"/>
      <c r="N619" s="24"/>
      <c r="O619" s="23">
        <v>415</v>
      </c>
      <c r="R619">
        <f t="shared" si="9"/>
        <v>0.45454545454545453</v>
      </c>
    </row>
    <row r="620" spans="1:18" ht="15.75" thickBot="1">
      <c r="A620" s="35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4"/>
      <c r="O620" s="23"/>
      <c r="R620" t="e">
        <f t="shared" si="9"/>
        <v>#DIV/0!</v>
      </c>
    </row>
    <row r="621" spans="1:18" ht="15.75" thickBot="1">
      <c r="A621" s="35" t="s">
        <v>558</v>
      </c>
      <c r="B621" s="23" t="s">
        <v>880</v>
      </c>
      <c r="C621" s="23">
        <v>6</v>
      </c>
      <c r="D621" s="23">
        <v>3</v>
      </c>
      <c r="E621" s="23">
        <v>3</v>
      </c>
      <c r="F621" s="23">
        <v>2</v>
      </c>
      <c r="G621" s="23">
        <v>1</v>
      </c>
      <c r="H621" s="23" t="s">
        <v>22</v>
      </c>
      <c r="I621" s="23">
        <v>1</v>
      </c>
      <c r="J621" s="23">
        <v>6</v>
      </c>
      <c r="K621" s="23"/>
      <c r="L621" s="23"/>
      <c r="M621" s="23"/>
      <c r="N621" s="24"/>
      <c r="O621" s="23" t="s">
        <v>22</v>
      </c>
      <c r="R621">
        <f t="shared" si="9"/>
        <v>1</v>
      </c>
    </row>
    <row r="622" spans="1:18" ht="15.75" thickBot="1">
      <c r="A622" s="35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4"/>
      <c r="O622" s="23"/>
      <c r="R622" t="e">
        <f t="shared" si="9"/>
        <v>#DIV/0!</v>
      </c>
    </row>
    <row r="623" spans="1:18" ht="15.75" thickBot="1">
      <c r="A623" s="35" t="s">
        <v>559</v>
      </c>
      <c r="B623" s="23" t="s">
        <v>629</v>
      </c>
      <c r="C623" s="23">
        <v>6</v>
      </c>
      <c r="D623" s="23">
        <v>1</v>
      </c>
      <c r="E623" s="23">
        <v>5</v>
      </c>
      <c r="F623" s="23">
        <v>1</v>
      </c>
      <c r="G623" s="23">
        <v>1</v>
      </c>
      <c r="H623" s="23" t="s">
        <v>22</v>
      </c>
      <c r="I623" s="23" t="s">
        <v>22</v>
      </c>
      <c r="J623" s="23">
        <v>9</v>
      </c>
      <c r="K623" s="23"/>
      <c r="L623" s="23"/>
      <c r="M623" s="23"/>
      <c r="N623" s="24"/>
      <c r="O623" s="23" t="s">
        <v>22</v>
      </c>
      <c r="R623">
        <f t="shared" si="9"/>
        <v>1.5</v>
      </c>
    </row>
    <row r="624" spans="1:18" ht="15.75" thickBot="1">
      <c r="A624" s="35" t="s">
        <v>560</v>
      </c>
      <c r="B624" s="23" t="s">
        <v>629</v>
      </c>
      <c r="C624" s="23">
        <v>5</v>
      </c>
      <c r="D624" s="23">
        <v>2</v>
      </c>
      <c r="E624" s="23">
        <v>3</v>
      </c>
      <c r="F624" s="23">
        <v>1</v>
      </c>
      <c r="G624" s="23">
        <v>1</v>
      </c>
      <c r="H624" s="23" t="s">
        <v>22</v>
      </c>
      <c r="I624" s="23" t="s">
        <v>22</v>
      </c>
      <c r="J624" s="23">
        <v>6</v>
      </c>
      <c r="K624" s="23"/>
      <c r="L624" s="23"/>
      <c r="M624" s="23"/>
      <c r="N624" s="24"/>
      <c r="O624" s="23" t="s">
        <v>22</v>
      </c>
      <c r="R624">
        <f t="shared" si="9"/>
        <v>1.2</v>
      </c>
    </row>
    <row r="625" spans="1:18" ht="15.75" thickBot="1">
      <c r="A625" s="35" t="s">
        <v>561</v>
      </c>
      <c r="B625" s="23" t="s">
        <v>636</v>
      </c>
      <c r="C625" s="23">
        <v>4</v>
      </c>
      <c r="D625" s="23">
        <v>2</v>
      </c>
      <c r="E625" s="23">
        <v>2</v>
      </c>
      <c r="F625" s="23">
        <v>1</v>
      </c>
      <c r="G625" s="23">
        <v>1</v>
      </c>
      <c r="H625" s="23" t="s">
        <v>22</v>
      </c>
      <c r="I625" s="23" t="s">
        <v>22</v>
      </c>
      <c r="J625" s="23">
        <v>5</v>
      </c>
      <c r="K625" s="23"/>
      <c r="L625" s="23"/>
      <c r="M625" s="23"/>
      <c r="N625" s="24"/>
      <c r="O625" s="23" t="s">
        <v>22</v>
      </c>
      <c r="R625">
        <f t="shared" si="9"/>
        <v>1.25</v>
      </c>
    </row>
    <row r="626" spans="1:18" ht="15.75" thickBot="1">
      <c r="A626" s="35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4"/>
      <c r="O626" s="23"/>
      <c r="R626" t="e">
        <f t="shared" si="9"/>
        <v>#DIV/0!</v>
      </c>
    </row>
    <row r="627" spans="1:18" ht="15.75" thickBot="1">
      <c r="A627" s="35" t="s">
        <v>562</v>
      </c>
      <c r="B627" s="23" t="s">
        <v>881</v>
      </c>
      <c r="C627" s="23">
        <v>3</v>
      </c>
      <c r="D627" s="23">
        <v>1</v>
      </c>
      <c r="E627" s="23">
        <v>2</v>
      </c>
      <c r="F627" s="23" t="s">
        <v>22</v>
      </c>
      <c r="G627" s="23" t="s">
        <v>22</v>
      </c>
      <c r="H627" s="23" t="s">
        <v>22</v>
      </c>
      <c r="I627" s="23" t="s">
        <v>22</v>
      </c>
      <c r="J627" s="23" t="s">
        <v>22</v>
      </c>
      <c r="K627" s="23"/>
      <c r="L627" s="23"/>
      <c r="M627" s="23"/>
      <c r="N627" s="24"/>
      <c r="O627" s="23" t="s">
        <v>22</v>
      </c>
      <c r="R627" t="e">
        <f t="shared" si="9"/>
        <v>#VALUE!</v>
      </c>
    </row>
    <row r="628" spans="1:18" ht="15.75" thickBot="1">
      <c r="A628" s="35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4"/>
      <c r="O628" s="23"/>
      <c r="R628" t="e">
        <f t="shared" si="9"/>
        <v>#DIV/0!</v>
      </c>
    </row>
    <row r="629" spans="1:18" ht="15.75" thickBot="1">
      <c r="A629" s="35" t="s">
        <v>563</v>
      </c>
      <c r="B629" s="23" t="s">
        <v>882</v>
      </c>
      <c r="C629" s="23">
        <v>2</v>
      </c>
      <c r="D629" s="23">
        <v>1</v>
      </c>
      <c r="E629" s="23">
        <v>1</v>
      </c>
      <c r="F629" s="23" t="s">
        <v>22</v>
      </c>
      <c r="G629" s="23" t="s">
        <v>22</v>
      </c>
      <c r="H629" s="23" t="s">
        <v>22</v>
      </c>
      <c r="I629" s="23" t="s">
        <v>22</v>
      </c>
      <c r="J629" s="23" t="s">
        <v>22</v>
      </c>
      <c r="K629" s="23"/>
      <c r="L629" s="23"/>
      <c r="M629" s="23"/>
      <c r="N629" s="24"/>
      <c r="O629" s="23" t="s">
        <v>22</v>
      </c>
      <c r="R629" t="e">
        <f t="shared" si="9"/>
        <v>#VALUE!</v>
      </c>
    </row>
    <row r="630" spans="1:18" ht="15.75" thickBot="1">
      <c r="A630" s="35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4"/>
      <c r="O630" s="23"/>
      <c r="R630" t="e">
        <f t="shared" si="9"/>
        <v>#DIV/0!</v>
      </c>
    </row>
    <row r="631" spans="1:18" ht="15.75" thickBot="1">
      <c r="A631" s="35" t="s">
        <v>564</v>
      </c>
      <c r="B631" s="23" t="s">
        <v>641</v>
      </c>
      <c r="C631" s="23">
        <v>4</v>
      </c>
      <c r="D631" s="23">
        <v>2</v>
      </c>
      <c r="E631" s="23">
        <v>2</v>
      </c>
      <c r="F631" s="23">
        <v>1</v>
      </c>
      <c r="G631" s="23" t="s">
        <v>22</v>
      </c>
      <c r="H631" s="23" t="s">
        <v>22</v>
      </c>
      <c r="I631" s="23" t="s">
        <v>22</v>
      </c>
      <c r="J631" s="23" t="s">
        <v>22</v>
      </c>
      <c r="K631" s="23"/>
      <c r="L631" s="23"/>
      <c r="M631" s="23"/>
      <c r="N631" s="24"/>
      <c r="O631" s="23" t="s">
        <v>22</v>
      </c>
      <c r="R631" t="e">
        <f t="shared" si="9"/>
        <v>#VALUE!</v>
      </c>
    </row>
    <row r="632" spans="1:18" ht="15.75" thickBot="1">
      <c r="A632" s="35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4"/>
      <c r="O632" s="23"/>
      <c r="R632" t="e">
        <f t="shared" si="9"/>
        <v>#DIV/0!</v>
      </c>
    </row>
    <row r="633" spans="1:18" ht="15.75" thickBot="1">
      <c r="A633" s="35" t="s">
        <v>565</v>
      </c>
      <c r="B633" s="23" t="s">
        <v>636</v>
      </c>
      <c r="C633" s="23">
        <v>3</v>
      </c>
      <c r="D633" s="23">
        <v>1</v>
      </c>
      <c r="E633" s="23">
        <v>2</v>
      </c>
      <c r="F633" s="23" t="s">
        <v>22</v>
      </c>
      <c r="G633" s="23">
        <v>1</v>
      </c>
      <c r="H633" s="23" t="s">
        <v>22</v>
      </c>
      <c r="I633" s="23" t="s">
        <v>22</v>
      </c>
      <c r="J633" s="23" t="s">
        <v>22</v>
      </c>
      <c r="K633" s="23"/>
      <c r="L633" s="23"/>
      <c r="M633" s="23"/>
      <c r="N633" s="24"/>
      <c r="O633" s="23" t="s">
        <v>22</v>
      </c>
      <c r="R633" t="e">
        <f t="shared" si="9"/>
        <v>#VALUE!</v>
      </c>
    </row>
    <row r="634" spans="1:18" ht="15.75" thickBot="1">
      <c r="A634" s="35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4"/>
      <c r="O634" s="23"/>
      <c r="R634" t="e">
        <f t="shared" si="9"/>
        <v>#DIV/0!</v>
      </c>
    </row>
    <row r="635" spans="1:18" ht="15.75" thickBot="1">
      <c r="A635" s="35" t="s">
        <v>566</v>
      </c>
      <c r="B635" s="23" t="s">
        <v>883</v>
      </c>
      <c r="C635" s="23">
        <v>1</v>
      </c>
      <c r="D635" s="23" t="s">
        <v>22</v>
      </c>
      <c r="E635" s="23" t="s">
        <v>22</v>
      </c>
      <c r="F635" s="23" t="s">
        <v>22</v>
      </c>
      <c r="G635" s="23" t="s">
        <v>22</v>
      </c>
      <c r="H635" s="23" t="s">
        <v>22</v>
      </c>
      <c r="I635" s="23" t="s">
        <v>22</v>
      </c>
      <c r="J635" s="23" t="s">
        <v>22</v>
      </c>
      <c r="K635" s="23"/>
      <c r="L635" s="23"/>
      <c r="M635" s="23"/>
      <c r="N635" s="24"/>
      <c r="O635" s="23">
        <v>459</v>
      </c>
      <c r="R635" t="e">
        <f t="shared" si="9"/>
        <v>#VALUE!</v>
      </c>
    </row>
    <row r="636" spans="1:18" ht="15.75" thickBot="1">
      <c r="A636" s="35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4"/>
      <c r="O636" s="23"/>
      <c r="R636" t="e">
        <f t="shared" si="9"/>
        <v>#DIV/0!</v>
      </c>
    </row>
    <row r="637" spans="1:18" ht="15.75" thickBot="1">
      <c r="A637" s="35" t="s">
        <v>5121</v>
      </c>
      <c r="B637" s="23" t="s">
        <v>884</v>
      </c>
      <c r="C637" s="23">
        <v>2</v>
      </c>
      <c r="D637" s="23">
        <v>2</v>
      </c>
      <c r="E637" s="23" t="s">
        <v>22</v>
      </c>
      <c r="F637" s="23" t="s">
        <v>22</v>
      </c>
      <c r="G637" s="23">
        <v>1</v>
      </c>
      <c r="H637" s="23" t="s">
        <v>22</v>
      </c>
      <c r="I637" s="23" t="s">
        <v>22</v>
      </c>
      <c r="J637" s="23">
        <v>3</v>
      </c>
      <c r="K637" s="23"/>
      <c r="L637" s="23"/>
      <c r="M637" s="23"/>
      <c r="N637" s="24"/>
      <c r="O637" s="23" t="s">
        <v>22</v>
      </c>
      <c r="R637">
        <f t="shared" si="9"/>
        <v>1.5</v>
      </c>
    </row>
    <row r="638" spans="1:18" ht="15.75" thickBot="1">
      <c r="A638" s="35" t="s">
        <v>5122</v>
      </c>
      <c r="B638" s="23" t="s">
        <v>885</v>
      </c>
      <c r="C638" s="23">
        <v>6</v>
      </c>
      <c r="D638" s="23">
        <v>1</v>
      </c>
      <c r="E638" s="23">
        <v>5</v>
      </c>
      <c r="F638" s="23">
        <v>1</v>
      </c>
      <c r="G638" s="23">
        <v>1</v>
      </c>
      <c r="H638" s="23" t="s">
        <v>22</v>
      </c>
      <c r="I638" s="23" t="s">
        <v>22</v>
      </c>
      <c r="J638" s="23">
        <v>9</v>
      </c>
      <c r="K638" s="23"/>
      <c r="L638" s="23"/>
      <c r="M638" s="23"/>
      <c r="N638" s="24"/>
      <c r="O638" s="23">
        <v>29</v>
      </c>
      <c r="R638">
        <f t="shared" si="9"/>
        <v>1.5</v>
      </c>
    </row>
    <row r="639" spans="1:18" ht="15.75" thickBot="1">
      <c r="A639" s="35" t="s">
        <v>5123</v>
      </c>
      <c r="B639" s="23" t="s">
        <v>886</v>
      </c>
      <c r="C639" s="23">
        <v>6</v>
      </c>
      <c r="D639" s="23">
        <v>1</v>
      </c>
      <c r="E639" s="23">
        <v>5</v>
      </c>
      <c r="F639" s="23">
        <v>2</v>
      </c>
      <c r="G639" s="23">
        <v>1</v>
      </c>
      <c r="H639" s="23" t="s">
        <v>22</v>
      </c>
      <c r="I639" s="23" t="s">
        <v>22</v>
      </c>
      <c r="J639" s="23">
        <v>6</v>
      </c>
      <c r="K639" s="23"/>
      <c r="L639" s="23"/>
      <c r="M639" s="23"/>
      <c r="N639" s="24"/>
      <c r="O639" s="23" t="s">
        <v>22</v>
      </c>
      <c r="R639">
        <f t="shared" si="9"/>
        <v>1</v>
      </c>
    </row>
    <row r="640" spans="1:18" ht="15.75" thickBot="1">
      <c r="A640" s="35" t="s">
        <v>5124</v>
      </c>
      <c r="B640" s="23" t="s">
        <v>887</v>
      </c>
      <c r="C640" s="23">
        <v>5</v>
      </c>
      <c r="D640" s="23">
        <v>1</v>
      </c>
      <c r="E640" s="23">
        <v>4</v>
      </c>
      <c r="F640" s="23">
        <v>1</v>
      </c>
      <c r="G640" s="23" t="s">
        <v>22</v>
      </c>
      <c r="H640" s="23" t="s">
        <v>22</v>
      </c>
      <c r="I640" s="23" t="s">
        <v>22</v>
      </c>
      <c r="J640" s="23">
        <v>8</v>
      </c>
      <c r="K640" s="23"/>
      <c r="L640" s="23"/>
      <c r="M640" s="23"/>
      <c r="N640" s="24"/>
      <c r="O640" s="23">
        <v>31</v>
      </c>
      <c r="R640">
        <f t="shared" si="9"/>
        <v>1.6</v>
      </c>
    </row>
    <row r="641" spans="1:18" ht="15.75" thickBot="1">
      <c r="A641" s="35" t="s">
        <v>5125</v>
      </c>
      <c r="B641" s="23" t="s">
        <v>888</v>
      </c>
      <c r="C641" s="23">
        <v>1</v>
      </c>
      <c r="D641" s="23" t="s">
        <v>22</v>
      </c>
      <c r="E641" s="23">
        <v>1</v>
      </c>
      <c r="F641" s="23" t="s">
        <v>22</v>
      </c>
      <c r="G641" s="23">
        <v>1</v>
      </c>
      <c r="H641" s="23" t="s">
        <v>22</v>
      </c>
      <c r="I641" s="23" t="s">
        <v>22</v>
      </c>
      <c r="J641" s="23">
        <v>2</v>
      </c>
      <c r="K641" s="23"/>
      <c r="L641" s="23"/>
      <c r="M641" s="23"/>
      <c r="N641" s="24"/>
      <c r="O641" s="23" t="s">
        <v>22</v>
      </c>
      <c r="R641">
        <f t="shared" si="9"/>
        <v>2</v>
      </c>
    </row>
    <row r="642" spans="1:18" ht="15.75" thickBot="1">
      <c r="A642" s="35" t="s">
        <v>5126</v>
      </c>
      <c r="B642" s="23" t="s">
        <v>889</v>
      </c>
      <c r="C642" s="23">
        <v>2</v>
      </c>
      <c r="D642" s="23" t="s">
        <v>22</v>
      </c>
      <c r="E642" s="23">
        <v>2</v>
      </c>
      <c r="F642" s="23" t="s">
        <v>22</v>
      </c>
      <c r="G642" s="23">
        <v>1</v>
      </c>
      <c r="H642" s="23" t="s">
        <v>22</v>
      </c>
      <c r="I642" s="23" t="s">
        <v>22</v>
      </c>
      <c r="J642" s="23">
        <v>4</v>
      </c>
      <c r="K642" s="23"/>
      <c r="L642" s="23"/>
      <c r="M642" s="23"/>
      <c r="N642" s="24"/>
      <c r="O642" s="23" t="s">
        <v>22</v>
      </c>
      <c r="R642">
        <f t="shared" ref="R642:R705" si="10">J642/C642</f>
        <v>2</v>
      </c>
    </row>
    <row r="643" spans="1:18" ht="15.75" thickBot="1">
      <c r="A643" s="35" t="s">
        <v>5127</v>
      </c>
      <c r="B643" s="23" t="s">
        <v>890</v>
      </c>
      <c r="C643" s="23">
        <v>7</v>
      </c>
      <c r="D643" s="23">
        <v>2</v>
      </c>
      <c r="E643" s="23">
        <v>5</v>
      </c>
      <c r="F643" s="23">
        <v>1</v>
      </c>
      <c r="G643" s="23">
        <v>1</v>
      </c>
      <c r="H643" s="23" t="s">
        <v>22</v>
      </c>
      <c r="I643" s="23" t="s">
        <v>22</v>
      </c>
      <c r="J643" s="23">
        <v>8</v>
      </c>
      <c r="K643" s="23"/>
      <c r="L643" s="23"/>
      <c r="M643" s="23"/>
      <c r="N643" s="24"/>
      <c r="O643" s="23">
        <v>40</v>
      </c>
      <c r="R643">
        <f t="shared" si="10"/>
        <v>1.1428571428571428</v>
      </c>
    </row>
    <row r="644" spans="1:18" ht="15.75" thickBot="1">
      <c r="A644" s="35" t="s">
        <v>5128</v>
      </c>
      <c r="B644" s="23" t="s">
        <v>891</v>
      </c>
      <c r="C644" s="23">
        <v>7</v>
      </c>
      <c r="D644" s="23">
        <v>1</v>
      </c>
      <c r="E644" s="23">
        <v>6</v>
      </c>
      <c r="F644" s="23">
        <v>2</v>
      </c>
      <c r="G644" s="23">
        <v>1</v>
      </c>
      <c r="H644" s="23" t="s">
        <v>22</v>
      </c>
      <c r="I644" s="23">
        <v>2</v>
      </c>
      <c r="J644" s="23">
        <v>10</v>
      </c>
      <c r="K644" s="23"/>
      <c r="L644" s="23"/>
      <c r="M644" s="23"/>
      <c r="N644" s="24"/>
      <c r="O644" s="23">
        <v>22</v>
      </c>
      <c r="R644">
        <f t="shared" si="10"/>
        <v>1.4285714285714286</v>
      </c>
    </row>
    <row r="645" spans="1:18" ht="15.75" thickBot="1">
      <c r="A645" s="35" t="s">
        <v>5129</v>
      </c>
      <c r="B645" s="23" t="s">
        <v>892</v>
      </c>
      <c r="C645" s="23">
        <v>7</v>
      </c>
      <c r="D645" s="23">
        <v>1</v>
      </c>
      <c r="E645" s="23">
        <v>6</v>
      </c>
      <c r="F645" s="23">
        <v>2</v>
      </c>
      <c r="G645" s="23">
        <v>1</v>
      </c>
      <c r="H645" s="23" t="s">
        <v>22</v>
      </c>
      <c r="I645" s="23">
        <v>1</v>
      </c>
      <c r="J645" s="23">
        <v>10</v>
      </c>
      <c r="K645" s="23"/>
      <c r="L645" s="23"/>
      <c r="M645" s="23"/>
      <c r="N645" s="24"/>
      <c r="O645" s="23">
        <v>213</v>
      </c>
      <c r="R645">
        <f t="shared" si="10"/>
        <v>1.4285714285714286</v>
      </c>
    </row>
    <row r="646" spans="1:18" ht="15.75" thickBot="1">
      <c r="A646" s="35" t="s">
        <v>5130</v>
      </c>
      <c r="B646" s="23" t="s">
        <v>893</v>
      </c>
      <c r="C646" s="23">
        <v>5</v>
      </c>
      <c r="D646" s="23">
        <v>1</v>
      </c>
      <c r="E646" s="23">
        <v>4</v>
      </c>
      <c r="F646" s="23">
        <v>1</v>
      </c>
      <c r="G646" s="23">
        <v>1</v>
      </c>
      <c r="H646" s="23" t="s">
        <v>22</v>
      </c>
      <c r="I646" s="23" t="s">
        <v>22</v>
      </c>
      <c r="J646" s="23">
        <v>4</v>
      </c>
      <c r="K646" s="23"/>
      <c r="L646" s="23"/>
      <c r="M646" s="23"/>
      <c r="N646" s="24"/>
      <c r="O646" s="23">
        <v>255</v>
      </c>
      <c r="R646">
        <f t="shared" si="10"/>
        <v>0.8</v>
      </c>
    </row>
    <row r="647" spans="1:18" ht="15.75" thickBot="1">
      <c r="A647" s="35" t="s">
        <v>5131</v>
      </c>
      <c r="B647" s="23" t="s">
        <v>894</v>
      </c>
      <c r="C647" s="23">
        <v>2</v>
      </c>
      <c r="D647" s="23">
        <v>1</v>
      </c>
      <c r="E647" s="23"/>
      <c r="F647" s="23">
        <v>1</v>
      </c>
      <c r="G647" s="23">
        <v>1</v>
      </c>
      <c r="H647" s="23" t="s">
        <v>22</v>
      </c>
      <c r="I647" s="23" t="s">
        <v>22</v>
      </c>
      <c r="J647" s="23">
        <v>7</v>
      </c>
      <c r="K647" s="23"/>
      <c r="L647" s="23"/>
      <c r="M647" s="23"/>
      <c r="N647" s="24"/>
      <c r="O647" s="23">
        <v>704</v>
      </c>
      <c r="R647">
        <f t="shared" si="10"/>
        <v>3.5</v>
      </c>
    </row>
    <row r="648" spans="1:18" ht="15.75" thickBot="1">
      <c r="A648" s="35" t="s">
        <v>5132</v>
      </c>
      <c r="B648" s="23" t="s">
        <v>895</v>
      </c>
      <c r="C648" s="23">
        <v>4</v>
      </c>
      <c r="D648" s="23" t="s">
        <v>22</v>
      </c>
      <c r="E648" s="23">
        <v>4</v>
      </c>
      <c r="F648" s="23">
        <v>1</v>
      </c>
      <c r="G648" s="23">
        <v>1</v>
      </c>
      <c r="H648" s="23" t="s">
        <v>22</v>
      </c>
      <c r="I648" s="23" t="s">
        <v>22</v>
      </c>
      <c r="J648" s="23">
        <v>6</v>
      </c>
      <c r="K648" s="23"/>
      <c r="L648" s="23"/>
      <c r="M648" s="23"/>
      <c r="N648" s="24"/>
      <c r="O648" s="23" t="s">
        <v>22</v>
      </c>
      <c r="R648">
        <f t="shared" si="10"/>
        <v>1.5</v>
      </c>
    </row>
    <row r="649" spans="1:18" ht="15.75" thickBot="1">
      <c r="A649" s="35" t="s">
        <v>5133</v>
      </c>
      <c r="B649" s="23" t="s">
        <v>896</v>
      </c>
      <c r="C649" s="23">
        <v>6</v>
      </c>
      <c r="D649" s="23">
        <v>2</v>
      </c>
      <c r="E649" s="23">
        <v>4</v>
      </c>
      <c r="F649" s="23">
        <v>2</v>
      </c>
      <c r="G649" s="23">
        <v>1</v>
      </c>
      <c r="H649" s="23" t="s">
        <v>22</v>
      </c>
      <c r="I649" s="23" t="s">
        <v>22</v>
      </c>
      <c r="J649" s="23">
        <v>8</v>
      </c>
      <c r="K649" s="23"/>
      <c r="L649" s="23"/>
      <c r="M649" s="23"/>
      <c r="N649" s="24"/>
      <c r="O649" s="23">
        <v>27</v>
      </c>
      <c r="R649">
        <f t="shared" si="10"/>
        <v>1.3333333333333333</v>
      </c>
    </row>
    <row r="650" spans="1:18" ht="15.75" thickBot="1">
      <c r="A650" s="35" t="s">
        <v>5134</v>
      </c>
      <c r="B650" s="23" t="s">
        <v>897</v>
      </c>
      <c r="C650" s="23">
        <v>4</v>
      </c>
      <c r="D650" s="23">
        <v>1</v>
      </c>
      <c r="E650" s="23">
        <v>3</v>
      </c>
      <c r="F650" s="23">
        <v>2</v>
      </c>
      <c r="G650" s="23">
        <v>1</v>
      </c>
      <c r="H650" s="23" t="s">
        <v>22</v>
      </c>
      <c r="I650" s="23" t="s">
        <v>22</v>
      </c>
      <c r="J650" s="23">
        <v>8</v>
      </c>
      <c r="K650" s="23"/>
      <c r="L650" s="23"/>
      <c r="M650" s="23"/>
      <c r="N650" s="24"/>
      <c r="O650" s="23">
        <v>13</v>
      </c>
      <c r="R650">
        <f t="shared" si="10"/>
        <v>2</v>
      </c>
    </row>
    <row r="651" spans="1:18" ht="15.75" thickBot="1">
      <c r="A651" s="35" t="s">
        <v>5096</v>
      </c>
      <c r="B651" s="23" t="s">
        <v>898</v>
      </c>
      <c r="C651" s="23">
        <v>6</v>
      </c>
      <c r="D651" s="23">
        <v>2</v>
      </c>
      <c r="E651" s="23">
        <v>4</v>
      </c>
      <c r="F651" s="23">
        <v>1</v>
      </c>
      <c r="G651" s="23">
        <v>1</v>
      </c>
      <c r="H651" s="23" t="s">
        <v>22</v>
      </c>
      <c r="I651" s="23" t="s">
        <v>22</v>
      </c>
      <c r="J651" s="23">
        <v>1</v>
      </c>
      <c r="K651" s="23"/>
      <c r="L651" s="23"/>
      <c r="M651" s="23"/>
      <c r="N651" s="24"/>
      <c r="O651" s="23">
        <v>169</v>
      </c>
      <c r="R651">
        <f t="shared" si="10"/>
        <v>0.16666666666666666</v>
      </c>
    </row>
    <row r="652" spans="1:18" ht="15.75" thickBot="1">
      <c r="A652" s="35" t="s">
        <v>5135</v>
      </c>
      <c r="B652" s="23" t="s">
        <v>670</v>
      </c>
      <c r="C652" s="23">
        <v>4</v>
      </c>
      <c r="D652" s="23">
        <v>2</v>
      </c>
      <c r="E652" s="23">
        <v>2</v>
      </c>
      <c r="F652" s="23">
        <v>1</v>
      </c>
      <c r="G652" s="23">
        <v>1</v>
      </c>
      <c r="H652" s="23" t="s">
        <v>22</v>
      </c>
      <c r="I652" s="23" t="s">
        <v>22</v>
      </c>
      <c r="J652" s="23">
        <v>9</v>
      </c>
      <c r="K652" s="23"/>
      <c r="L652" s="23"/>
      <c r="M652" s="23"/>
      <c r="N652" s="24"/>
      <c r="O652" s="23">
        <v>825</v>
      </c>
      <c r="R652">
        <f t="shared" si="10"/>
        <v>2.25</v>
      </c>
    </row>
    <row r="653" spans="1:18" ht="15.75" thickBot="1">
      <c r="A653" s="35" t="s">
        <v>5136</v>
      </c>
      <c r="B653" s="23" t="s">
        <v>899</v>
      </c>
      <c r="C653" s="23">
        <v>6</v>
      </c>
      <c r="D653" s="27" t="s">
        <v>725</v>
      </c>
      <c r="E653" s="23">
        <v>4</v>
      </c>
      <c r="F653" s="23">
        <v>1</v>
      </c>
      <c r="G653" s="23">
        <v>2</v>
      </c>
      <c r="H653" s="23" t="s">
        <v>22</v>
      </c>
      <c r="I653" s="23" t="s">
        <v>900</v>
      </c>
      <c r="J653" s="23" t="s">
        <v>22</v>
      </c>
      <c r="K653" s="23"/>
      <c r="L653" s="23"/>
      <c r="M653" s="23"/>
      <c r="N653" s="24"/>
      <c r="O653" s="23">
        <v>654</v>
      </c>
      <c r="R653" t="e">
        <f t="shared" si="10"/>
        <v>#VALUE!</v>
      </c>
    </row>
    <row r="654" spans="1:18" ht="15.75" thickBot="1">
      <c r="A654" s="35" t="s">
        <v>5137</v>
      </c>
      <c r="B654" s="23" t="s">
        <v>901</v>
      </c>
      <c r="C654" s="23">
        <v>5</v>
      </c>
      <c r="D654" s="23" t="s">
        <v>22</v>
      </c>
      <c r="E654" s="23">
        <v>5</v>
      </c>
      <c r="F654" s="23">
        <v>2</v>
      </c>
      <c r="G654" s="23">
        <v>1</v>
      </c>
      <c r="H654" s="23" t="s">
        <v>22</v>
      </c>
      <c r="I654" s="23" t="s">
        <v>22</v>
      </c>
      <c r="J654" s="23">
        <v>9</v>
      </c>
      <c r="K654" s="23"/>
      <c r="L654" s="23"/>
      <c r="M654" s="23"/>
      <c r="N654" s="24"/>
      <c r="O654" s="23">
        <v>642</v>
      </c>
      <c r="R654">
        <f t="shared" si="10"/>
        <v>1.8</v>
      </c>
    </row>
    <row r="655" spans="1:18" ht="15.75" thickBot="1">
      <c r="A655" s="35" t="s">
        <v>5138</v>
      </c>
      <c r="B655" s="23" t="s">
        <v>644</v>
      </c>
      <c r="C655" s="23">
        <v>4</v>
      </c>
      <c r="D655" s="23">
        <v>2</v>
      </c>
      <c r="E655" s="23">
        <v>2</v>
      </c>
      <c r="F655" s="23" t="s">
        <v>22</v>
      </c>
      <c r="G655" s="23">
        <v>1</v>
      </c>
      <c r="H655" s="23" t="s">
        <v>22</v>
      </c>
      <c r="I655" s="23">
        <v>2</v>
      </c>
      <c r="J655" s="23">
        <v>4</v>
      </c>
      <c r="K655" s="23"/>
      <c r="L655" s="23"/>
      <c r="M655" s="23"/>
      <c r="N655" s="24" t="s">
        <v>902</v>
      </c>
      <c r="O655" s="23" t="s">
        <v>22</v>
      </c>
      <c r="R655">
        <f t="shared" si="10"/>
        <v>1</v>
      </c>
    </row>
    <row r="656" spans="1:18" ht="15.75" thickBot="1">
      <c r="A656" s="35" t="s">
        <v>5139</v>
      </c>
      <c r="B656" s="23" t="s">
        <v>903</v>
      </c>
      <c r="C656" s="23">
        <v>5</v>
      </c>
      <c r="D656" s="23">
        <v>1</v>
      </c>
      <c r="E656" s="23">
        <v>4</v>
      </c>
      <c r="F656" s="23">
        <v>1</v>
      </c>
      <c r="G656" s="23">
        <v>1</v>
      </c>
      <c r="H656" s="23" t="s">
        <v>22</v>
      </c>
      <c r="I656" s="23" t="s">
        <v>22</v>
      </c>
      <c r="J656" s="23">
        <v>2</v>
      </c>
      <c r="K656" s="23"/>
      <c r="L656" s="23"/>
      <c r="M656" s="23"/>
      <c r="N656" s="24"/>
      <c r="O656" s="23">
        <v>161</v>
      </c>
      <c r="R656">
        <f t="shared" si="10"/>
        <v>0.4</v>
      </c>
    </row>
    <row r="657" spans="1:18" ht="15.75" thickBot="1">
      <c r="A657" s="35" t="s">
        <v>5140</v>
      </c>
      <c r="B657" s="23" t="s">
        <v>904</v>
      </c>
      <c r="C657" s="23">
        <v>5</v>
      </c>
      <c r="D657" s="23" t="s">
        <v>652</v>
      </c>
      <c r="E657" s="23">
        <v>3</v>
      </c>
      <c r="F657" s="23" t="s">
        <v>22</v>
      </c>
      <c r="G657" s="23">
        <v>1</v>
      </c>
      <c r="H657" s="23" t="s">
        <v>22</v>
      </c>
      <c r="I657" s="23" t="s">
        <v>22</v>
      </c>
      <c r="J657" s="23" t="s">
        <v>648</v>
      </c>
      <c r="K657" s="23"/>
      <c r="L657" s="23"/>
      <c r="M657" s="23"/>
      <c r="N657" s="24"/>
      <c r="O657" s="23">
        <v>10</v>
      </c>
      <c r="R657" t="e">
        <f t="shared" si="10"/>
        <v>#VALUE!</v>
      </c>
    </row>
    <row r="658" spans="1:18" ht="15.75" thickBot="1">
      <c r="A658" s="35" t="s">
        <v>5141</v>
      </c>
      <c r="B658" s="23" t="s">
        <v>905</v>
      </c>
      <c r="C658" s="23">
        <v>4</v>
      </c>
      <c r="D658" s="23" t="s">
        <v>22</v>
      </c>
      <c r="E658" s="23">
        <v>4</v>
      </c>
      <c r="F658" s="23">
        <v>2</v>
      </c>
      <c r="G658" s="23">
        <v>1</v>
      </c>
      <c r="H658" s="23" t="s">
        <v>22</v>
      </c>
      <c r="I658" s="23" t="s">
        <v>22</v>
      </c>
      <c r="J658" s="23">
        <v>6</v>
      </c>
      <c r="K658" s="23"/>
      <c r="L658" s="23"/>
      <c r="M658" s="23"/>
      <c r="N658" s="24"/>
      <c r="O658" s="23">
        <v>250</v>
      </c>
      <c r="R658">
        <f t="shared" si="10"/>
        <v>1.5</v>
      </c>
    </row>
    <row r="659" spans="1:18" ht="15.75" thickBot="1">
      <c r="A659" s="35" t="s">
        <v>5142</v>
      </c>
      <c r="B659" s="23" t="s">
        <v>636</v>
      </c>
      <c r="C659" s="23">
        <v>7</v>
      </c>
      <c r="D659" s="23">
        <v>2</v>
      </c>
      <c r="E659" s="23">
        <v>5</v>
      </c>
      <c r="F659" s="23">
        <v>1</v>
      </c>
      <c r="G659" s="23">
        <v>1</v>
      </c>
      <c r="H659" s="23" t="s">
        <v>22</v>
      </c>
      <c r="I659" s="23" t="s">
        <v>22</v>
      </c>
      <c r="J659" s="23">
        <v>8</v>
      </c>
      <c r="K659" s="23"/>
      <c r="L659" s="23"/>
      <c r="M659" s="23"/>
      <c r="N659" s="24"/>
      <c r="O659" s="23">
        <v>295</v>
      </c>
      <c r="R659">
        <f t="shared" si="10"/>
        <v>1.1428571428571428</v>
      </c>
    </row>
    <row r="660" spans="1:18" ht="15.75" thickBot="1">
      <c r="A660" s="35" t="s">
        <v>5143</v>
      </c>
      <c r="B660" s="23" t="s">
        <v>906</v>
      </c>
      <c r="C660" s="23">
        <v>8</v>
      </c>
      <c r="D660" s="23">
        <v>1</v>
      </c>
      <c r="E660" s="23">
        <v>7</v>
      </c>
      <c r="F660" s="23">
        <v>2</v>
      </c>
      <c r="G660" s="23">
        <v>1</v>
      </c>
      <c r="H660" s="23" t="s">
        <v>22</v>
      </c>
      <c r="I660" s="23" t="s">
        <v>22</v>
      </c>
      <c r="J660" s="23">
        <v>10</v>
      </c>
      <c r="K660" s="23"/>
      <c r="L660" s="23"/>
      <c r="M660" s="23"/>
      <c r="N660" s="24"/>
      <c r="O660" s="23">
        <v>24</v>
      </c>
      <c r="R660">
        <f t="shared" si="10"/>
        <v>1.25</v>
      </c>
    </row>
    <row r="661" spans="1:18" ht="15.75" thickBot="1">
      <c r="A661" s="35" t="s">
        <v>5144</v>
      </c>
      <c r="B661" s="23" t="s">
        <v>643</v>
      </c>
      <c r="C661" s="23">
        <v>5</v>
      </c>
      <c r="D661" s="23">
        <v>2</v>
      </c>
      <c r="E661" s="23">
        <v>3</v>
      </c>
      <c r="F661" s="23" t="s">
        <v>22</v>
      </c>
      <c r="G661" s="23">
        <v>1</v>
      </c>
      <c r="H661" s="23" t="s">
        <v>22</v>
      </c>
      <c r="I661" s="23">
        <v>1</v>
      </c>
      <c r="J661" s="23" t="s">
        <v>907</v>
      </c>
      <c r="K661" s="23"/>
      <c r="L661" s="23"/>
      <c r="M661" s="23"/>
      <c r="N661" s="24"/>
      <c r="O661" s="23">
        <v>783</v>
      </c>
      <c r="R661" t="e">
        <f t="shared" si="10"/>
        <v>#VALUE!</v>
      </c>
    </row>
    <row r="662" spans="1:18" ht="15.75" thickBot="1">
      <c r="A662" s="35" t="s">
        <v>5145</v>
      </c>
      <c r="B662" s="23" t="s">
        <v>908</v>
      </c>
      <c r="C662" s="23">
        <v>9</v>
      </c>
      <c r="D662" s="23">
        <v>1</v>
      </c>
      <c r="E662" s="23">
        <v>8</v>
      </c>
      <c r="F662" s="23">
        <v>1</v>
      </c>
      <c r="G662" s="23">
        <v>1</v>
      </c>
      <c r="H662" s="23" t="s">
        <v>22</v>
      </c>
      <c r="I662" s="23" t="s">
        <v>22</v>
      </c>
      <c r="J662" s="23">
        <v>8</v>
      </c>
      <c r="K662" s="23"/>
      <c r="L662" s="23"/>
      <c r="M662" s="23"/>
      <c r="N662" s="24"/>
      <c r="O662" s="23">
        <v>799</v>
      </c>
      <c r="R662">
        <f t="shared" si="10"/>
        <v>0.88888888888888884</v>
      </c>
    </row>
    <row r="663" spans="1:18" ht="15.75" thickBot="1">
      <c r="A663" s="35" t="s">
        <v>5146</v>
      </c>
      <c r="B663" s="23" t="s">
        <v>909</v>
      </c>
      <c r="C663" s="23">
        <v>11</v>
      </c>
      <c r="D663" s="23">
        <v>3</v>
      </c>
      <c r="E663" s="23">
        <v>8</v>
      </c>
      <c r="F663" s="23">
        <v>2</v>
      </c>
      <c r="G663" s="23">
        <v>1</v>
      </c>
      <c r="H663" s="23" t="s">
        <v>22</v>
      </c>
      <c r="I663" s="23" t="s">
        <v>22</v>
      </c>
      <c r="J663" s="23">
        <v>11</v>
      </c>
      <c r="K663" s="23"/>
      <c r="L663" s="23"/>
      <c r="M663" s="23"/>
      <c r="N663" s="24"/>
      <c r="O663" s="23">
        <v>793</v>
      </c>
      <c r="R663">
        <f t="shared" si="10"/>
        <v>1</v>
      </c>
    </row>
    <row r="664" spans="1:18" ht="15.75" thickBot="1">
      <c r="A664" s="35" t="s">
        <v>5146</v>
      </c>
      <c r="B664" s="23" t="s">
        <v>634</v>
      </c>
      <c r="C664" s="23">
        <v>9</v>
      </c>
      <c r="D664" s="23">
        <v>3</v>
      </c>
      <c r="E664" s="23">
        <v>6</v>
      </c>
      <c r="F664" s="23">
        <v>2</v>
      </c>
      <c r="G664" s="23">
        <v>1</v>
      </c>
      <c r="H664" s="23" t="s">
        <v>22</v>
      </c>
      <c r="I664" s="23">
        <v>1</v>
      </c>
      <c r="J664" s="23">
        <v>13</v>
      </c>
      <c r="K664" s="23"/>
      <c r="L664" s="23"/>
      <c r="M664" s="23"/>
      <c r="N664" s="24"/>
      <c r="O664" s="23" t="s">
        <v>22</v>
      </c>
      <c r="R664">
        <f t="shared" si="10"/>
        <v>1.4444444444444444</v>
      </c>
    </row>
    <row r="665" spans="1:18" ht="15.75" thickBot="1">
      <c r="A665" s="35" t="s">
        <v>5147</v>
      </c>
      <c r="B665" s="23" t="s">
        <v>910</v>
      </c>
      <c r="C665" s="23">
        <v>2</v>
      </c>
      <c r="D665" s="23" t="s">
        <v>22</v>
      </c>
      <c r="E665" s="23">
        <v>2</v>
      </c>
      <c r="F665" s="23">
        <v>1</v>
      </c>
      <c r="G665" s="23" t="s">
        <v>22</v>
      </c>
      <c r="H665" s="23" t="s">
        <v>22</v>
      </c>
      <c r="I665" s="23" t="s">
        <v>22</v>
      </c>
      <c r="J665" s="23">
        <v>2</v>
      </c>
      <c r="K665" s="23"/>
      <c r="L665" s="23"/>
      <c r="M665" s="23"/>
      <c r="N665" s="24"/>
      <c r="O665" s="23">
        <v>170</v>
      </c>
      <c r="R665">
        <f t="shared" si="10"/>
        <v>1</v>
      </c>
    </row>
    <row r="666" spans="1:18" ht="15.75" thickBot="1">
      <c r="A666" s="35" t="s">
        <v>5148</v>
      </c>
      <c r="B666" s="23" t="s">
        <v>911</v>
      </c>
      <c r="C666" s="23">
        <v>6</v>
      </c>
      <c r="D666" s="23">
        <v>2</v>
      </c>
      <c r="E666" s="23">
        <v>4</v>
      </c>
      <c r="F666" s="23" t="s">
        <v>22</v>
      </c>
      <c r="G666" s="23">
        <v>1</v>
      </c>
      <c r="H666" s="23" t="s">
        <v>22</v>
      </c>
      <c r="I666" s="23" t="s">
        <v>22</v>
      </c>
      <c r="J666" s="25">
        <v>2.5</v>
      </c>
      <c r="K666" s="23"/>
      <c r="L666" s="23"/>
      <c r="M666" s="23"/>
      <c r="N666" s="24"/>
      <c r="O666" s="23" t="s">
        <v>22</v>
      </c>
      <c r="R666">
        <f t="shared" si="10"/>
        <v>0.41666666666666669</v>
      </c>
    </row>
    <row r="667" spans="1:18" ht="15.75" thickBot="1">
      <c r="A667" s="35" t="s">
        <v>5149</v>
      </c>
      <c r="B667" s="23" t="s">
        <v>912</v>
      </c>
      <c r="C667" s="23">
        <v>9</v>
      </c>
      <c r="D667" s="23">
        <v>2</v>
      </c>
      <c r="E667" s="23">
        <v>7</v>
      </c>
      <c r="F667" s="23">
        <v>2</v>
      </c>
      <c r="G667" s="23">
        <v>1</v>
      </c>
      <c r="H667" s="23" t="s">
        <v>22</v>
      </c>
      <c r="I667" s="23">
        <v>1</v>
      </c>
      <c r="J667" s="23">
        <v>11</v>
      </c>
      <c r="K667" s="23"/>
      <c r="L667" s="23"/>
      <c r="M667" s="23"/>
      <c r="N667" s="24"/>
      <c r="O667" s="23" t="s">
        <v>22</v>
      </c>
      <c r="R667">
        <f t="shared" si="10"/>
        <v>1.2222222222222223</v>
      </c>
    </row>
    <row r="668" spans="1:18" ht="15.75" thickBot="1">
      <c r="A668" s="35" t="s">
        <v>567</v>
      </c>
      <c r="B668" s="23" t="s">
        <v>643</v>
      </c>
      <c r="C668" s="23">
        <v>4</v>
      </c>
      <c r="D668" s="23">
        <v>2</v>
      </c>
      <c r="E668" s="23">
        <v>2</v>
      </c>
      <c r="F668" s="23">
        <v>1</v>
      </c>
      <c r="G668" s="23">
        <v>1</v>
      </c>
      <c r="H668" s="23" t="s">
        <v>22</v>
      </c>
      <c r="I668" s="23" t="s">
        <v>22</v>
      </c>
      <c r="J668" s="23">
        <v>5</v>
      </c>
      <c r="K668" s="23"/>
      <c r="L668" s="23"/>
      <c r="M668" s="23"/>
      <c r="N668" s="24"/>
      <c r="O668" s="23" t="s">
        <v>913</v>
      </c>
      <c r="R668">
        <f t="shared" si="10"/>
        <v>1.25</v>
      </c>
    </row>
    <row r="669" spans="1:18" ht="15.75" thickBot="1">
      <c r="A669" s="35" t="s">
        <v>5150</v>
      </c>
      <c r="B669" s="23" t="s">
        <v>643</v>
      </c>
      <c r="C669" s="23">
        <v>4</v>
      </c>
      <c r="D669" s="23" t="s">
        <v>22</v>
      </c>
      <c r="E669" s="23">
        <v>4</v>
      </c>
      <c r="F669" s="23">
        <v>2</v>
      </c>
      <c r="G669" s="23">
        <v>2</v>
      </c>
      <c r="H669" s="23" t="s">
        <v>22</v>
      </c>
      <c r="I669" s="23">
        <v>3</v>
      </c>
      <c r="J669" s="23">
        <v>4</v>
      </c>
      <c r="K669" s="23"/>
      <c r="L669" s="23"/>
      <c r="M669" s="23"/>
      <c r="N669" s="24"/>
      <c r="O669" s="23" t="s">
        <v>22</v>
      </c>
      <c r="R669">
        <f t="shared" si="10"/>
        <v>1</v>
      </c>
    </row>
    <row r="670" spans="1:18" ht="15.75" thickBot="1">
      <c r="A670" s="35" t="s">
        <v>5151</v>
      </c>
      <c r="B670" s="23" t="s">
        <v>643</v>
      </c>
      <c r="C670" s="23">
        <v>12</v>
      </c>
      <c r="D670" s="23">
        <v>3</v>
      </c>
      <c r="E670" s="23">
        <v>9</v>
      </c>
      <c r="F670" s="23">
        <v>2</v>
      </c>
      <c r="G670" s="23">
        <v>2</v>
      </c>
      <c r="H670" s="23" t="s">
        <v>22</v>
      </c>
      <c r="I670" s="23">
        <v>2</v>
      </c>
      <c r="J670" s="23">
        <v>18</v>
      </c>
      <c r="K670" s="23"/>
      <c r="L670" s="23"/>
      <c r="M670" s="23"/>
      <c r="N670" s="24"/>
      <c r="O670" s="23">
        <v>784</v>
      </c>
      <c r="R670">
        <f t="shared" si="10"/>
        <v>1.5</v>
      </c>
    </row>
    <row r="671" spans="1:18" ht="15.75" thickBot="1">
      <c r="A671" s="35" t="s">
        <v>5152</v>
      </c>
      <c r="B671" s="23" t="s">
        <v>914</v>
      </c>
      <c r="C671" s="23">
        <v>8</v>
      </c>
      <c r="D671" s="23">
        <v>1</v>
      </c>
      <c r="E671" s="23">
        <v>7</v>
      </c>
      <c r="F671" s="23">
        <v>1</v>
      </c>
      <c r="G671" s="23">
        <v>1</v>
      </c>
      <c r="H671" s="23" t="s">
        <v>22</v>
      </c>
      <c r="I671" s="23" t="s">
        <v>22</v>
      </c>
      <c r="J671" s="23">
        <v>10</v>
      </c>
      <c r="K671" s="23"/>
      <c r="L671" s="23"/>
      <c r="M671" s="23"/>
      <c r="N671" s="24"/>
      <c r="O671" s="23">
        <v>751</v>
      </c>
      <c r="R671">
        <f t="shared" si="10"/>
        <v>1.25</v>
      </c>
    </row>
    <row r="672" spans="1:18" ht="15.75" thickBot="1">
      <c r="A672" s="35" t="s">
        <v>5153</v>
      </c>
      <c r="B672" s="23" t="s">
        <v>915</v>
      </c>
      <c r="C672" s="23">
        <v>6</v>
      </c>
      <c r="D672" s="23">
        <v>2</v>
      </c>
      <c r="E672" s="23">
        <v>4</v>
      </c>
      <c r="F672" s="23">
        <v>1</v>
      </c>
      <c r="G672" s="23">
        <v>1</v>
      </c>
      <c r="H672" s="23" t="s">
        <v>22</v>
      </c>
      <c r="I672" s="23" t="s">
        <v>22</v>
      </c>
      <c r="J672" s="23">
        <v>8</v>
      </c>
      <c r="K672" s="23"/>
      <c r="L672" s="23"/>
      <c r="M672" s="23"/>
      <c r="N672" s="24"/>
      <c r="O672" s="23" t="s">
        <v>22</v>
      </c>
      <c r="R672">
        <f t="shared" si="10"/>
        <v>1.3333333333333333</v>
      </c>
    </row>
    <row r="673" spans="1:18" ht="15.75" thickBot="1">
      <c r="A673" s="35" t="s">
        <v>5154</v>
      </c>
      <c r="B673" s="23" t="s">
        <v>644</v>
      </c>
      <c r="C673" s="23">
        <v>2</v>
      </c>
      <c r="D673" s="23" t="s">
        <v>22</v>
      </c>
      <c r="E673" s="23">
        <v>2</v>
      </c>
      <c r="F673" s="23">
        <v>1</v>
      </c>
      <c r="G673" s="23">
        <v>1</v>
      </c>
      <c r="H673" s="23" t="s">
        <v>22</v>
      </c>
      <c r="I673" s="23" t="s">
        <v>22</v>
      </c>
      <c r="J673" s="23">
        <v>4</v>
      </c>
      <c r="K673" s="23"/>
      <c r="L673" s="23"/>
      <c r="M673" s="23"/>
      <c r="N673" s="24"/>
      <c r="O673" s="23">
        <v>468</v>
      </c>
      <c r="R673">
        <f t="shared" si="10"/>
        <v>2</v>
      </c>
    </row>
    <row r="674" spans="1:18" ht="15.75" thickBot="1">
      <c r="A674" s="35" t="s">
        <v>5155</v>
      </c>
      <c r="B674" s="23" t="s">
        <v>916</v>
      </c>
      <c r="C674" s="23">
        <v>3</v>
      </c>
      <c r="D674" s="23">
        <v>2</v>
      </c>
      <c r="E674" s="23">
        <v>1</v>
      </c>
      <c r="F674" s="23" t="s">
        <v>22</v>
      </c>
      <c r="G674" s="23">
        <v>1</v>
      </c>
      <c r="H674" s="23" t="s">
        <v>22</v>
      </c>
      <c r="I674" s="23" t="s">
        <v>22</v>
      </c>
      <c r="J674" s="23">
        <v>4</v>
      </c>
      <c r="K674" s="23"/>
      <c r="L674" s="23"/>
      <c r="M674" s="23"/>
      <c r="N674" s="24"/>
      <c r="O674" s="23">
        <v>749</v>
      </c>
      <c r="R674">
        <f t="shared" si="10"/>
        <v>1.3333333333333333</v>
      </c>
    </row>
    <row r="675" spans="1:18" ht="15.75" thickBot="1">
      <c r="A675" s="35" t="s">
        <v>5156</v>
      </c>
      <c r="B675" s="23" t="s">
        <v>643</v>
      </c>
      <c r="C675" s="23">
        <v>4</v>
      </c>
      <c r="D675" s="23">
        <v>1</v>
      </c>
      <c r="E675" s="23">
        <v>3</v>
      </c>
      <c r="F675" s="23">
        <v>1</v>
      </c>
      <c r="G675" s="23">
        <v>1</v>
      </c>
      <c r="H675" s="23" t="s">
        <v>22</v>
      </c>
      <c r="I675" s="23">
        <v>3</v>
      </c>
      <c r="J675" s="23">
        <v>7</v>
      </c>
      <c r="K675" s="23"/>
      <c r="L675" s="23"/>
      <c r="M675" s="23"/>
      <c r="N675" s="24"/>
      <c r="O675" s="23">
        <v>792</v>
      </c>
      <c r="R675">
        <f t="shared" si="10"/>
        <v>1.75</v>
      </c>
    </row>
    <row r="676" spans="1:18" ht="15.75" thickBot="1">
      <c r="A676" s="35" t="s">
        <v>5157</v>
      </c>
      <c r="B676" s="23" t="s">
        <v>917</v>
      </c>
      <c r="C676" s="23">
        <v>5</v>
      </c>
      <c r="D676" s="23">
        <v>1</v>
      </c>
      <c r="E676" s="23">
        <v>4</v>
      </c>
      <c r="F676" s="23">
        <v>1</v>
      </c>
      <c r="G676" s="23">
        <v>1</v>
      </c>
      <c r="H676" s="23" t="s">
        <v>22</v>
      </c>
      <c r="I676" s="23" t="s">
        <v>22</v>
      </c>
      <c r="J676" s="23">
        <v>8</v>
      </c>
      <c r="K676" s="23"/>
      <c r="L676" s="23"/>
      <c r="M676" s="23"/>
      <c r="N676" s="24"/>
      <c r="O676" s="23">
        <v>167</v>
      </c>
      <c r="R676">
        <f t="shared" si="10"/>
        <v>1.6</v>
      </c>
    </row>
    <row r="677" spans="1:18" ht="15.75" thickBot="1">
      <c r="A677" s="35" t="s">
        <v>5158</v>
      </c>
      <c r="B677" s="23" t="s">
        <v>918</v>
      </c>
      <c r="C677" s="23">
        <v>5</v>
      </c>
      <c r="D677" s="23">
        <v>2</v>
      </c>
      <c r="E677" s="23">
        <v>3</v>
      </c>
      <c r="F677" s="23">
        <v>2</v>
      </c>
      <c r="G677" s="23">
        <v>1</v>
      </c>
      <c r="H677" s="23" t="s">
        <v>22</v>
      </c>
      <c r="I677" s="23">
        <v>1</v>
      </c>
      <c r="J677" s="23" t="s">
        <v>639</v>
      </c>
      <c r="K677" s="23"/>
      <c r="L677" s="23"/>
      <c r="M677" s="23"/>
      <c r="N677" s="24"/>
      <c r="O677" s="23">
        <v>754</v>
      </c>
      <c r="R677" t="e">
        <f t="shared" si="10"/>
        <v>#VALUE!</v>
      </c>
    </row>
    <row r="678" spans="1:18" ht="15.75" thickBot="1">
      <c r="A678" s="35" t="s">
        <v>5159</v>
      </c>
      <c r="B678" s="23" t="s">
        <v>643</v>
      </c>
      <c r="C678" s="23">
        <v>6</v>
      </c>
      <c r="D678" s="23">
        <v>2</v>
      </c>
      <c r="E678" s="23">
        <v>4</v>
      </c>
      <c r="F678" s="23" t="s">
        <v>22</v>
      </c>
      <c r="G678" s="23">
        <v>1</v>
      </c>
      <c r="H678" s="23" t="s">
        <v>22</v>
      </c>
      <c r="I678" s="23" t="s">
        <v>22</v>
      </c>
      <c r="J678" s="23">
        <v>9</v>
      </c>
      <c r="K678" s="23"/>
      <c r="L678" s="23"/>
      <c r="M678" s="23"/>
      <c r="N678" s="24"/>
      <c r="O678" s="23" t="s">
        <v>22</v>
      </c>
      <c r="R678">
        <f t="shared" si="10"/>
        <v>1.5</v>
      </c>
    </row>
    <row r="679" spans="1:18" ht="15.75" thickBot="1">
      <c r="A679" s="35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4"/>
      <c r="O679" s="23"/>
      <c r="R679" t="e">
        <f t="shared" si="10"/>
        <v>#DIV/0!</v>
      </c>
    </row>
    <row r="680" spans="1:18" ht="15.75" thickBot="1">
      <c r="A680" s="35" t="s">
        <v>5160</v>
      </c>
      <c r="B680" s="23" t="s">
        <v>919</v>
      </c>
      <c r="C680" s="23">
        <v>2</v>
      </c>
      <c r="D680" s="23">
        <v>1</v>
      </c>
      <c r="E680" s="23">
        <v>1</v>
      </c>
      <c r="F680" s="23" t="s">
        <v>22</v>
      </c>
      <c r="G680" s="23">
        <v>1</v>
      </c>
      <c r="H680" s="23" t="s">
        <v>22</v>
      </c>
      <c r="I680" s="23" t="s">
        <v>22</v>
      </c>
      <c r="J680" s="25">
        <v>2.5</v>
      </c>
      <c r="K680" s="23"/>
      <c r="L680" s="23"/>
      <c r="M680" s="23"/>
      <c r="N680" s="24"/>
      <c r="O680" s="23" t="s">
        <v>22</v>
      </c>
      <c r="R680">
        <f t="shared" si="10"/>
        <v>1.25</v>
      </c>
    </row>
    <row r="681" spans="1:18" ht="15.75" thickBot="1">
      <c r="A681" s="35" t="s">
        <v>5161</v>
      </c>
      <c r="B681" s="23" t="s">
        <v>920</v>
      </c>
      <c r="C681" s="23">
        <v>4</v>
      </c>
      <c r="D681" s="23" t="s">
        <v>22</v>
      </c>
      <c r="E681" s="23">
        <v>4</v>
      </c>
      <c r="F681" s="23" t="s">
        <v>22</v>
      </c>
      <c r="G681" s="23">
        <v>1</v>
      </c>
      <c r="H681" s="23" t="s">
        <v>22</v>
      </c>
      <c r="I681" s="23" t="s">
        <v>22</v>
      </c>
      <c r="J681" s="23">
        <v>5</v>
      </c>
      <c r="K681" s="23"/>
      <c r="L681" s="23"/>
      <c r="M681" s="23"/>
      <c r="N681" s="24"/>
      <c r="O681" s="23">
        <v>81</v>
      </c>
      <c r="R681">
        <f t="shared" si="10"/>
        <v>1.25</v>
      </c>
    </row>
    <row r="682" spans="1:18" ht="15.75" thickBot="1">
      <c r="A682" s="35" t="s">
        <v>5162</v>
      </c>
      <c r="B682" s="23" t="s">
        <v>921</v>
      </c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4"/>
      <c r="O682" s="23">
        <v>45</v>
      </c>
      <c r="R682" t="e">
        <f t="shared" si="10"/>
        <v>#DIV/0!</v>
      </c>
    </row>
    <row r="683" spans="1:18" ht="15.75" thickBot="1">
      <c r="A683" s="35" t="s">
        <v>5163</v>
      </c>
      <c r="B683" s="23" t="s">
        <v>922</v>
      </c>
      <c r="C683" s="23">
        <v>3</v>
      </c>
      <c r="D683" s="23">
        <v>1</v>
      </c>
      <c r="E683" s="23">
        <v>2</v>
      </c>
      <c r="F683" s="23">
        <v>1</v>
      </c>
      <c r="G683" s="23">
        <v>1</v>
      </c>
      <c r="H683" s="23" t="s">
        <v>22</v>
      </c>
      <c r="I683" s="23" t="s">
        <v>22</v>
      </c>
      <c r="J683" s="23">
        <v>6</v>
      </c>
      <c r="K683" s="23"/>
      <c r="L683" s="23"/>
      <c r="M683" s="23"/>
      <c r="N683" s="24"/>
      <c r="O683" s="23">
        <v>30</v>
      </c>
      <c r="R683">
        <f t="shared" si="10"/>
        <v>2</v>
      </c>
    </row>
    <row r="684" spans="1:18" ht="15.75" thickBot="1">
      <c r="A684" s="35" t="s">
        <v>5164</v>
      </c>
      <c r="B684" s="23" t="s">
        <v>923</v>
      </c>
      <c r="C684" s="23">
        <v>3</v>
      </c>
      <c r="D684" s="23">
        <v>2</v>
      </c>
      <c r="E684" s="23">
        <v>1</v>
      </c>
      <c r="F684" s="23">
        <v>1</v>
      </c>
      <c r="G684" s="23">
        <v>1</v>
      </c>
      <c r="H684" s="23" t="s">
        <v>22</v>
      </c>
      <c r="I684" s="23" t="s">
        <v>22</v>
      </c>
      <c r="J684" s="23">
        <v>4</v>
      </c>
      <c r="K684" s="23"/>
      <c r="L684" s="23"/>
      <c r="M684" s="23"/>
      <c r="N684" s="24"/>
      <c r="O684" s="23">
        <v>82</v>
      </c>
      <c r="R684">
        <f t="shared" si="10"/>
        <v>1.3333333333333333</v>
      </c>
    </row>
    <row r="685" spans="1:18" ht="15.75" thickBot="1">
      <c r="A685" s="35" t="s">
        <v>5165</v>
      </c>
      <c r="B685" s="23" t="s">
        <v>636</v>
      </c>
      <c r="C685" s="23">
        <v>4</v>
      </c>
      <c r="D685" s="23">
        <v>4</v>
      </c>
      <c r="E685" s="23" t="s">
        <v>22</v>
      </c>
      <c r="F685" s="23" t="s">
        <v>22</v>
      </c>
      <c r="G685" s="23" t="s">
        <v>22</v>
      </c>
      <c r="H685" s="23" t="s">
        <v>22</v>
      </c>
      <c r="I685" s="23" t="s">
        <v>22</v>
      </c>
      <c r="J685" s="23">
        <v>4</v>
      </c>
      <c r="K685" s="23"/>
      <c r="L685" s="23"/>
      <c r="M685" s="23"/>
      <c r="N685" s="24"/>
      <c r="O685" s="23" t="s">
        <v>22</v>
      </c>
      <c r="R685">
        <f t="shared" si="10"/>
        <v>1</v>
      </c>
    </row>
    <row r="686" spans="1:18" ht="15.75" thickBot="1">
      <c r="A686" s="35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4"/>
      <c r="O686" s="23"/>
      <c r="R686" t="e">
        <f t="shared" si="10"/>
        <v>#DIV/0!</v>
      </c>
    </row>
    <row r="687" spans="1:18" ht="15.75" thickBot="1">
      <c r="A687" s="35" t="s">
        <v>568</v>
      </c>
      <c r="B687" s="23" t="s">
        <v>627</v>
      </c>
      <c r="C687" s="23">
        <v>3</v>
      </c>
      <c r="D687" s="23">
        <v>2</v>
      </c>
      <c r="E687" s="23">
        <v>1</v>
      </c>
      <c r="F687" s="23" t="s">
        <v>22</v>
      </c>
      <c r="G687" s="23">
        <v>1</v>
      </c>
      <c r="H687" s="23" t="s">
        <v>22</v>
      </c>
      <c r="I687" s="23" t="s">
        <v>22</v>
      </c>
      <c r="J687" s="23">
        <v>1</v>
      </c>
      <c r="K687" s="23"/>
      <c r="L687" s="23"/>
      <c r="M687" s="23"/>
      <c r="N687" s="24"/>
      <c r="O687" s="23" t="s">
        <v>22</v>
      </c>
      <c r="R687">
        <f t="shared" si="10"/>
        <v>0.33333333333333331</v>
      </c>
    </row>
    <row r="688" spans="1:18" ht="15.75" thickBot="1">
      <c r="A688" s="35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4"/>
      <c r="O688" s="23"/>
      <c r="R688" t="e">
        <f t="shared" si="10"/>
        <v>#DIV/0!</v>
      </c>
    </row>
    <row r="689" spans="1:18" ht="15.75" thickBot="1">
      <c r="A689" s="35" t="s">
        <v>569</v>
      </c>
      <c r="B689" s="23" t="s">
        <v>924</v>
      </c>
      <c r="C689" s="23">
        <v>2</v>
      </c>
      <c r="D689" s="23">
        <v>2</v>
      </c>
      <c r="E689" s="23" t="s">
        <v>22</v>
      </c>
      <c r="F689" s="23">
        <v>1</v>
      </c>
      <c r="G689" s="23">
        <v>1</v>
      </c>
      <c r="H689" s="23" t="s">
        <v>22</v>
      </c>
      <c r="I689" s="23" t="s">
        <v>22</v>
      </c>
      <c r="J689" s="23">
        <v>9</v>
      </c>
      <c r="K689" s="23"/>
      <c r="L689" s="23"/>
      <c r="M689" s="23"/>
      <c r="N689" s="24"/>
      <c r="O689" s="23">
        <v>645</v>
      </c>
      <c r="R689">
        <f t="shared" si="10"/>
        <v>4.5</v>
      </c>
    </row>
    <row r="690" spans="1:18" ht="15.75" thickBot="1">
      <c r="A690" s="35" t="s">
        <v>570</v>
      </c>
      <c r="B690" s="23" t="s">
        <v>641</v>
      </c>
      <c r="C690" s="23">
        <v>7</v>
      </c>
      <c r="D690" s="23">
        <v>1</v>
      </c>
      <c r="E690" s="23">
        <v>6</v>
      </c>
      <c r="F690" s="23">
        <v>1</v>
      </c>
      <c r="G690" s="23">
        <v>1</v>
      </c>
      <c r="H690" s="23" t="s">
        <v>22</v>
      </c>
      <c r="I690" s="23" t="s">
        <v>22</v>
      </c>
      <c r="J690" s="23">
        <v>6</v>
      </c>
      <c r="K690" s="23"/>
      <c r="L690" s="23"/>
      <c r="M690" s="23"/>
      <c r="N690" s="24"/>
      <c r="O690" s="23">
        <v>122</v>
      </c>
      <c r="R690">
        <f t="shared" si="10"/>
        <v>0.8571428571428571</v>
      </c>
    </row>
    <row r="691" spans="1:18" ht="15.75" thickBot="1">
      <c r="A691" s="35" t="s">
        <v>571</v>
      </c>
      <c r="B691" s="23" t="s">
        <v>925</v>
      </c>
      <c r="C691" s="23">
        <v>4</v>
      </c>
      <c r="D691" s="23">
        <v>1</v>
      </c>
      <c r="E691" s="23">
        <v>3</v>
      </c>
      <c r="F691" s="23">
        <v>1</v>
      </c>
      <c r="G691" s="23">
        <v>1</v>
      </c>
      <c r="H691" s="23" t="s">
        <v>22</v>
      </c>
      <c r="I691" s="23" t="s">
        <v>22</v>
      </c>
      <c r="J691" s="25">
        <v>2.625</v>
      </c>
      <c r="K691" s="23"/>
      <c r="L691" s="23"/>
      <c r="M691" s="23"/>
      <c r="N691" s="24"/>
      <c r="O691" s="23">
        <v>209</v>
      </c>
      <c r="R691">
        <f t="shared" si="10"/>
        <v>0.65625</v>
      </c>
    </row>
    <row r="692" spans="1:18" ht="15.75" thickBot="1">
      <c r="A692" s="35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4"/>
      <c r="O692" s="23"/>
      <c r="R692" t="e">
        <f t="shared" si="10"/>
        <v>#DIV/0!</v>
      </c>
    </row>
    <row r="693" spans="1:18" ht="15.75" thickBot="1">
      <c r="A693" s="35" t="s">
        <v>572</v>
      </c>
      <c r="B693" s="23" t="s">
        <v>641</v>
      </c>
      <c r="C693" s="23">
        <v>8</v>
      </c>
      <c r="D693" s="23">
        <v>3</v>
      </c>
      <c r="E693" s="23">
        <v>5</v>
      </c>
      <c r="F693" s="23">
        <v>2</v>
      </c>
      <c r="G693" s="23">
        <v>1</v>
      </c>
      <c r="H693" s="23" t="s">
        <v>22</v>
      </c>
      <c r="I693" s="23" t="s">
        <v>22</v>
      </c>
      <c r="J693" s="23">
        <v>8</v>
      </c>
      <c r="K693" s="23"/>
      <c r="L693" s="23"/>
      <c r="M693" s="23"/>
      <c r="N693" s="24"/>
      <c r="O693" s="23">
        <v>126</v>
      </c>
      <c r="R693">
        <f t="shared" si="10"/>
        <v>1</v>
      </c>
    </row>
    <row r="694" spans="1:18" ht="15.75" thickBot="1">
      <c r="A694" s="35" t="s">
        <v>573</v>
      </c>
      <c r="B694" s="23" t="s">
        <v>636</v>
      </c>
      <c r="C694" s="23">
        <v>5</v>
      </c>
      <c r="D694" s="23">
        <v>1</v>
      </c>
      <c r="E694" s="23">
        <v>3</v>
      </c>
      <c r="F694" s="23">
        <v>1</v>
      </c>
      <c r="G694" s="23" t="s">
        <v>22</v>
      </c>
      <c r="H694" s="23" t="s">
        <v>22</v>
      </c>
      <c r="I694" s="23" t="s">
        <v>22</v>
      </c>
      <c r="J694" s="23">
        <v>6</v>
      </c>
      <c r="K694" s="23"/>
      <c r="L694" s="23"/>
      <c r="M694" s="23"/>
      <c r="N694" s="24"/>
      <c r="O694" s="23" t="s">
        <v>22</v>
      </c>
      <c r="R694">
        <f t="shared" si="10"/>
        <v>1.2</v>
      </c>
    </row>
    <row r="695" spans="1:18" ht="15.75" thickBot="1">
      <c r="A695" s="35" t="s">
        <v>574</v>
      </c>
      <c r="B695" s="23" t="s">
        <v>926</v>
      </c>
      <c r="C695" s="23">
        <v>7</v>
      </c>
      <c r="D695" s="23">
        <v>1</v>
      </c>
      <c r="E695" s="23">
        <v>6</v>
      </c>
      <c r="F695" s="23">
        <v>1</v>
      </c>
      <c r="G695" s="23">
        <v>2</v>
      </c>
      <c r="H695" s="23" t="s">
        <v>22</v>
      </c>
      <c r="I695" s="23" t="s">
        <v>22</v>
      </c>
      <c r="J695" s="23">
        <v>8</v>
      </c>
      <c r="K695" s="23"/>
      <c r="L695" s="23"/>
      <c r="M695" s="23"/>
      <c r="N695" s="24"/>
      <c r="O695" s="23">
        <v>96</v>
      </c>
      <c r="R695">
        <f t="shared" si="10"/>
        <v>1.1428571428571428</v>
      </c>
    </row>
    <row r="696" spans="1:18" ht="15.75" thickBot="1">
      <c r="A696" s="35" t="s">
        <v>575</v>
      </c>
      <c r="B696" s="23" t="s">
        <v>927</v>
      </c>
      <c r="C696" s="23">
        <v>3</v>
      </c>
      <c r="D696" s="23">
        <v>1</v>
      </c>
      <c r="E696" s="23">
        <v>2</v>
      </c>
      <c r="F696" s="23">
        <v>1</v>
      </c>
      <c r="G696" s="23">
        <v>1</v>
      </c>
      <c r="H696" s="23" t="s">
        <v>22</v>
      </c>
      <c r="I696" s="23" t="s">
        <v>22</v>
      </c>
      <c r="J696" s="23">
        <v>2</v>
      </c>
      <c r="K696" s="23"/>
      <c r="L696" s="23"/>
      <c r="M696" s="23"/>
      <c r="N696" s="24"/>
      <c r="O696" s="23">
        <v>38</v>
      </c>
      <c r="R696">
        <f t="shared" si="10"/>
        <v>0.66666666666666663</v>
      </c>
    </row>
    <row r="697" spans="1:18" ht="15.75" thickBot="1">
      <c r="A697" s="35" t="s">
        <v>576</v>
      </c>
      <c r="B697" s="23" t="s">
        <v>634</v>
      </c>
      <c r="C697" s="23">
        <v>2</v>
      </c>
      <c r="D697" s="23">
        <v>2</v>
      </c>
      <c r="E697" s="23" t="s">
        <v>22</v>
      </c>
      <c r="F697" s="23">
        <v>1</v>
      </c>
      <c r="G697" s="23">
        <v>1</v>
      </c>
      <c r="H697" s="23" t="s">
        <v>22</v>
      </c>
      <c r="I697" s="23" t="s">
        <v>22</v>
      </c>
      <c r="J697" s="23">
        <v>3</v>
      </c>
      <c r="K697" s="23"/>
      <c r="L697" s="23"/>
      <c r="M697" s="23"/>
      <c r="N697" s="24"/>
      <c r="O697" s="23">
        <v>287</v>
      </c>
      <c r="R697">
        <f t="shared" si="10"/>
        <v>1.5</v>
      </c>
    </row>
    <row r="698" spans="1:18" ht="15.75" thickBot="1">
      <c r="A698" s="35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4"/>
      <c r="O698" s="23"/>
      <c r="R698" t="e">
        <f t="shared" si="10"/>
        <v>#DIV/0!</v>
      </c>
    </row>
    <row r="699" spans="1:18" ht="15.75" thickBot="1">
      <c r="A699" s="35" t="s">
        <v>577</v>
      </c>
      <c r="B699" s="23" t="s">
        <v>641</v>
      </c>
      <c r="C699" s="23">
        <v>3</v>
      </c>
      <c r="D699" s="23">
        <v>1</v>
      </c>
      <c r="E699" s="23">
        <v>2</v>
      </c>
      <c r="F699" s="23">
        <v>1</v>
      </c>
      <c r="G699" s="23">
        <v>1</v>
      </c>
      <c r="H699" s="23" t="s">
        <v>22</v>
      </c>
      <c r="I699" s="23" t="s">
        <v>22</v>
      </c>
      <c r="J699" s="23">
        <v>4</v>
      </c>
      <c r="K699" s="23"/>
      <c r="L699" s="23"/>
      <c r="M699" s="23"/>
      <c r="N699" s="24"/>
      <c r="O699" s="23" t="s">
        <v>22</v>
      </c>
      <c r="R699">
        <f t="shared" si="10"/>
        <v>1.3333333333333333</v>
      </c>
    </row>
    <row r="700" spans="1:18" ht="15.75" thickBot="1">
      <c r="A700" s="35" t="s">
        <v>578</v>
      </c>
      <c r="B700" s="23" t="s">
        <v>634</v>
      </c>
      <c r="C700" s="23">
        <v>3</v>
      </c>
      <c r="D700" s="23" t="s">
        <v>22</v>
      </c>
      <c r="E700" s="23">
        <v>3</v>
      </c>
      <c r="F700" s="23" t="s">
        <v>22</v>
      </c>
      <c r="G700" s="23">
        <v>1</v>
      </c>
      <c r="H700" s="23" t="s">
        <v>22</v>
      </c>
      <c r="I700" s="23" t="s">
        <v>22</v>
      </c>
      <c r="J700" s="23">
        <v>1</v>
      </c>
      <c r="K700" s="23"/>
      <c r="L700" s="23"/>
      <c r="M700" s="23"/>
      <c r="N700" s="24"/>
      <c r="O700" s="23" t="s">
        <v>22</v>
      </c>
      <c r="R700">
        <f t="shared" si="10"/>
        <v>0.33333333333333331</v>
      </c>
    </row>
    <row r="701" spans="1:18" ht="15.75" thickBot="1">
      <c r="A701" s="35" t="s">
        <v>579</v>
      </c>
      <c r="B701" s="23" t="s">
        <v>928</v>
      </c>
      <c r="C701" s="23">
        <v>3</v>
      </c>
      <c r="D701" s="23">
        <v>1</v>
      </c>
      <c r="E701" s="23">
        <v>2</v>
      </c>
      <c r="F701" s="23" t="s">
        <v>22</v>
      </c>
      <c r="G701" s="23" t="s">
        <v>22</v>
      </c>
      <c r="H701" s="23" t="s">
        <v>22</v>
      </c>
      <c r="I701" s="23" t="s">
        <v>22</v>
      </c>
      <c r="J701" s="23">
        <v>1</v>
      </c>
      <c r="K701" s="23"/>
      <c r="L701" s="23"/>
      <c r="M701" s="23"/>
      <c r="N701" s="24"/>
      <c r="O701" s="23">
        <v>177</v>
      </c>
      <c r="R701">
        <f t="shared" si="10"/>
        <v>0.33333333333333331</v>
      </c>
    </row>
    <row r="702" spans="1:18" ht="15.75" thickBot="1">
      <c r="A702" s="35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4"/>
      <c r="O702" s="23"/>
      <c r="R702" t="e">
        <f t="shared" si="10"/>
        <v>#DIV/0!</v>
      </c>
    </row>
    <row r="703" spans="1:18" ht="15.75" thickBot="1">
      <c r="A703" s="35" t="s">
        <v>4679</v>
      </c>
      <c r="B703" s="23" t="s">
        <v>644</v>
      </c>
      <c r="C703" s="23">
        <v>3</v>
      </c>
      <c r="D703" s="23" t="s">
        <v>22</v>
      </c>
      <c r="E703" s="23">
        <v>3</v>
      </c>
      <c r="F703" s="23">
        <v>1</v>
      </c>
      <c r="G703" s="23">
        <v>1</v>
      </c>
      <c r="H703" s="23" t="s">
        <v>22</v>
      </c>
      <c r="I703" s="23" t="s">
        <v>22</v>
      </c>
      <c r="J703" s="25">
        <v>4.5</v>
      </c>
      <c r="K703" s="23"/>
      <c r="L703" s="23"/>
      <c r="M703" s="23"/>
      <c r="N703" s="24"/>
      <c r="O703" s="23" t="s">
        <v>22</v>
      </c>
      <c r="R703">
        <f t="shared" si="10"/>
        <v>1.5</v>
      </c>
    </row>
    <row r="704" spans="1:18" ht="15.75" thickBot="1">
      <c r="A704" s="35" t="s">
        <v>4680</v>
      </c>
      <c r="B704" s="23" t="s">
        <v>929</v>
      </c>
      <c r="C704" s="23">
        <v>6</v>
      </c>
      <c r="D704" s="23">
        <v>3</v>
      </c>
      <c r="E704" s="23">
        <v>3</v>
      </c>
      <c r="F704" s="23">
        <v>1</v>
      </c>
      <c r="G704" s="23">
        <v>2</v>
      </c>
      <c r="H704" s="23" t="s">
        <v>22</v>
      </c>
      <c r="I704" s="23" t="s">
        <v>22</v>
      </c>
      <c r="J704" s="23">
        <v>8</v>
      </c>
      <c r="K704" s="23"/>
      <c r="L704" s="23"/>
      <c r="M704" s="23"/>
      <c r="N704" s="24"/>
      <c r="O704" s="23">
        <v>155</v>
      </c>
      <c r="R704">
        <f t="shared" si="10"/>
        <v>1.3333333333333333</v>
      </c>
    </row>
    <row r="705" spans="1:18" ht="15.75" thickBot="1">
      <c r="A705" s="35" t="s">
        <v>4681</v>
      </c>
      <c r="B705" s="23" t="s">
        <v>930</v>
      </c>
      <c r="C705" s="23">
        <v>2</v>
      </c>
      <c r="D705" s="23">
        <v>2</v>
      </c>
      <c r="E705" s="23" t="s">
        <v>22</v>
      </c>
      <c r="F705" s="23" t="s">
        <v>633</v>
      </c>
      <c r="G705" s="23">
        <v>1</v>
      </c>
      <c r="H705" s="23" t="s">
        <v>22</v>
      </c>
      <c r="I705" s="23" t="s">
        <v>22</v>
      </c>
      <c r="J705" s="25">
        <v>1.375</v>
      </c>
      <c r="K705" s="23"/>
      <c r="L705" s="23"/>
      <c r="M705" s="23"/>
      <c r="N705" s="24"/>
      <c r="O705" s="23">
        <v>199</v>
      </c>
      <c r="R705">
        <f t="shared" si="10"/>
        <v>0.6875</v>
      </c>
    </row>
    <row r="706" spans="1:18" ht="15.75" thickBot="1">
      <c r="A706" s="35" t="s">
        <v>580</v>
      </c>
      <c r="B706" s="23" t="s">
        <v>624</v>
      </c>
      <c r="C706" s="23">
        <v>5</v>
      </c>
      <c r="D706" s="23">
        <v>1</v>
      </c>
      <c r="E706" s="23">
        <v>4</v>
      </c>
      <c r="F706" s="23">
        <v>2</v>
      </c>
      <c r="G706" s="23">
        <v>1</v>
      </c>
      <c r="H706" s="23" t="s">
        <v>22</v>
      </c>
      <c r="I706" s="23" t="s">
        <v>22</v>
      </c>
      <c r="J706" s="23">
        <v>7</v>
      </c>
      <c r="K706" s="23"/>
      <c r="L706" s="23"/>
      <c r="M706" s="23"/>
      <c r="N706" s="24"/>
      <c r="O706" s="23">
        <v>584</v>
      </c>
      <c r="R706">
        <f t="shared" ref="R706:R757" si="11">J706/C706</f>
        <v>1.4</v>
      </c>
    </row>
    <row r="707" spans="1:18" ht="15.75" thickBot="1">
      <c r="A707" s="95" t="s">
        <v>4537</v>
      </c>
      <c r="B707" s="23" t="s">
        <v>931</v>
      </c>
      <c r="C707" s="23">
        <v>7</v>
      </c>
      <c r="D707" s="23">
        <v>3</v>
      </c>
      <c r="E707" s="23">
        <v>4</v>
      </c>
      <c r="F707" s="23">
        <v>2</v>
      </c>
      <c r="G707" s="23">
        <v>1</v>
      </c>
      <c r="H707" s="23" t="s">
        <v>22</v>
      </c>
      <c r="I707" s="23" t="s">
        <v>22</v>
      </c>
      <c r="J707" s="23">
        <v>7</v>
      </c>
      <c r="K707" s="23"/>
      <c r="L707" s="23"/>
      <c r="M707" s="23"/>
      <c r="N707" s="24"/>
      <c r="O707" s="23">
        <v>174</v>
      </c>
      <c r="R707">
        <f t="shared" si="11"/>
        <v>1</v>
      </c>
    </row>
    <row r="708" spans="1:18" ht="15.75" thickBot="1">
      <c r="A708" s="35" t="s">
        <v>4682</v>
      </c>
      <c r="B708" s="23" t="s">
        <v>932</v>
      </c>
      <c r="C708" s="23">
        <v>11</v>
      </c>
      <c r="D708" s="23">
        <v>3</v>
      </c>
      <c r="E708" s="23">
        <v>8</v>
      </c>
      <c r="F708" s="23">
        <v>1</v>
      </c>
      <c r="G708" s="23">
        <v>1</v>
      </c>
      <c r="H708" s="23" t="s">
        <v>22</v>
      </c>
      <c r="I708" s="23" t="s">
        <v>22</v>
      </c>
      <c r="J708" s="28">
        <v>7.833333333333333</v>
      </c>
      <c r="K708" s="23"/>
      <c r="L708" s="23"/>
      <c r="M708" s="23"/>
      <c r="N708" s="24"/>
      <c r="O708" s="23">
        <v>660</v>
      </c>
      <c r="R708">
        <f t="shared" si="11"/>
        <v>0.71212121212121204</v>
      </c>
    </row>
    <row r="709" spans="1:18" ht="15.75" thickBot="1">
      <c r="A709" s="35" t="s">
        <v>4683</v>
      </c>
      <c r="B709" s="23" t="s">
        <v>644</v>
      </c>
      <c r="C709" s="23">
        <v>5</v>
      </c>
      <c r="D709" s="23">
        <v>3</v>
      </c>
      <c r="E709" s="23">
        <v>2</v>
      </c>
      <c r="F709" s="23">
        <v>2</v>
      </c>
      <c r="G709" s="23">
        <v>1</v>
      </c>
      <c r="H709" s="23" t="s">
        <v>22</v>
      </c>
      <c r="I709" s="23">
        <v>2</v>
      </c>
      <c r="J709" s="23">
        <v>5</v>
      </c>
      <c r="K709" s="23"/>
      <c r="L709" s="23"/>
      <c r="M709" s="23"/>
      <c r="N709" s="24"/>
      <c r="O709" s="23">
        <v>469</v>
      </c>
      <c r="R709">
        <f t="shared" si="11"/>
        <v>1</v>
      </c>
    </row>
    <row r="710" spans="1:18" ht="15.75" thickBot="1">
      <c r="A710" s="35" t="s">
        <v>4684</v>
      </c>
      <c r="B710" s="23" t="s">
        <v>933</v>
      </c>
      <c r="C710" s="23">
        <v>7</v>
      </c>
      <c r="D710" s="23">
        <v>1</v>
      </c>
      <c r="E710" s="23">
        <v>6</v>
      </c>
      <c r="F710" s="23">
        <v>1</v>
      </c>
      <c r="G710" s="23">
        <v>1</v>
      </c>
      <c r="H710" s="23" t="s">
        <v>22</v>
      </c>
      <c r="I710" s="23" t="s">
        <v>22</v>
      </c>
      <c r="J710" s="23">
        <v>8</v>
      </c>
      <c r="K710" s="23"/>
      <c r="L710" s="23"/>
      <c r="M710" s="23"/>
      <c r="N710" s="24"/>
      <c r="O710" s="23">
        <v>78</v>
      </c>
      <c r="R710">
        <f t="shared" si="11"/>
        <v>1.1428571428571428</v>
      </c>
    </row>
    <row r="711" spans="1:18" ht="15.75" thickBot="1">
      <c r="A711" s="35" t="s">
        <v>4685</v>
      </c>
      <c r="B711" s="23" t="s">
        <v>934</v>
      </c>
      <c r="C711" s="23">
        <v>2</v>
      </c>
      <c r="D711" s="23">
        <v>2</v>
      </c>
      <c r="E711" s="23" t="s">
        <v>633</v>
      </c>
      <c r="F711" s="23">
        <v>1</v>
      </c>
      <c r="G711" s="23">
        <v>1</v>
      </c>
      <c r="H711" s="23" t="s">
        <v>22</v>
      </c>
      <c r="I711" s="23" t="s">
        <v>22</v>
      </c>
      <c r="J711" s="25">
        <v>1.125</v>
      </c>
      <c r="K711" s="23"/>
      <c r="L711" s="23"/>
      <c r="M711" s="23"/>
      <c r="N711" s="24"/>
      <c r="O711" s="23">
        <v>201</v>
      </c>
      <c r="R711">
        <f t="shared" si="11"/>
        <v>0.5625</v>
      </c>
    </row>
    <row r="712" spans="1:18" ht="15.75" thickBot="1">
      <c r="A712" s="35" t="s">
        <v>581</v>
      </c>
      <c r="B712" s="23" t="s">
        <v>935</v>
      </c>
      <c r="C712" s="23">
        <v>4</v>
      </c>
      <c r="D712" s="23">
        <v>2</v>
      </c>
      <c r="E712" s="23">
        <v>2</v>
      </c>
      <c r="F712" s="23" t="s">
        <v>22</v>
      </c>
      <c r="G712" s="23">
        <v>1</v>
      </c>
      <c r="H712" s="23" t="s">
        <v>22</v>
      </c>
      <c r="I712" s="23" t="s">
        <v>22</v>
      </c>
      <c r="J712" s="23">
        <v>6</v>
      </c>
      <c r="K712" s="23"/>
      <c r="L712" s="23"/>
      <c r="M712" s="23"/>
      <c r="N712" s="24"/>
      <c r="O712" s="23">
        <v>680</v>
      </c>
      <c r="R712">
        <f t="shared" si="11"/>
        <v>1.5</v>
      </c>
    </row>
    <row r="713" spans="1:18" ht="15.75" thickBot="1">
      <c r="A713" s="35" t="s">
        <v>4686</v>
      </c>
      <c r="B713" s="23" t="s">
        <v>936</v>
      </c>
      <c r="C713" s="23">
        <v>6</v>
      </c>
      <c r="D713" s="23">
        <v>3</v>
      </c>
      <c r="E713" s="23">
        <v>3</v>
      </c>
      <c r="F713" s="23">
        <v>1</v>
      </c>
      <c r="G713" s="23">
        <v>1</v>
      </c>
      <c r="H713" s="23" t="s">
        <v>22</v>
      </c>
      <c r="I713" s="23" t="s">
        <v>22</v>
      </c>
      <c r="J713" s="23">
        <v>4</v>
      </c>
      <c r="K713" s="23"/>
      <c r="L713" s="23"/>
      <c r="M713" s="23"/>
      <c r="N713" s="24"/>
      <c r="O713" s="23">
        <v>205</v>
      </c>
      <c r="R713">
        <f t="shared" si="11"/>
        <v>0.66666666666666663</v>
      </c>
    </row>
    <row r="714" spans="1:18" ht="15.75" thickBot="1">
      <c r="A714" s="35" t="s">
        <v>4600</v>
      </c>
      <c r="B714" s="23" t="s">
        <v>644</v>
      </c>
      <c r="C714" s="23">
        <v>5</v>
      </c>
      <c r="D714" s="23">
        <v>2</v>
      </c>
      <c r="E714" s="23">
        <v>3</v>
      </c>
      <c r="F714" s="23">
        <v>1</v>
      </c>
      <c r="G714" s="23" t="s">
        <v>22</v>
      </c>
      <c r="H714" s="23" t="s">
        <v>22</v>
      </c>
      <c r="I714" s="23" t="s">
        <v>22</v>
      </c>
      <c r="J714" s="23">
        <v>4</v>
      </c>
      <c r="K714" s="23"/>
      <c r="L714" s="23"/>
      <c r="M714" s="23"/>
      <c r="N714" s="24"/>
      <c r="O714" s="23" t="s">
        <v>22</v>
      </c>
      <c r="R714">
        <f t="shared" si="11"/>
        <v>0.8</v>
      </c>
    </row>
    <row r="715" spans="1:18" ht="15.75" thickBot="1">
      <c r="A715" s="35" t="s">
        <v>4687</v>
      </c>
      <c r="B715" s="23" t="s">
        <v>937</v>
      </c>
      <c r="C715" s="23">
        <v>5</v>
      </c>
      <c r="D715" s="23" t="s">
        <v>22</v>
      </c>
      <c r="E715" s="23">
        <v>5</v>
      </c>
      <c r="F715" s="23">
        <v>1</v>
      </c>
      <c r="G715" s="23">
        <v>1</v>
      </c>
      <c r="H715" s="23" t="s">
        <v>22</v>
      </c>
      <c r="I715" s="23" t="s">
        <v>22</v>
      </c>
      <c r="J715" s="25">
        <v>2.5</v>
      </c>
      <c r="K715" s="23"/>
      <c r="L715" s="23"/>
      <c r="M715" s="23"/>
      <c r="N715" s="24"/>
      <c r="O715" s="23">
        <v>688</v>
      </c>
      <c r="R715">
        <f t="shared" si="11"/>
        <v>0.5</v>
      </c>
    </row>
    <row r="716" spans="1:18" ht="15.75" thickBot="1">
      <c r="A716" s="35" t="s">
        <v>4688</v>
      </c>
      <c r="B716" s="23" t="s">
        <v>644</v>
      </c>
      <c r="C716" s="23">
        <v>3</v>
      </c>
      <c r="D716" s="23">
        <v>1</v>
      </c>
      <c r="E716" s="23">
        <v>2</v>
      </c>
      <c r="F716" s="23">
        <v>2</v>
      </c>
      <c r="G716" s="23">
        <v>1</v>
      </c>
      <c r="H716" s="23" t="s">
        <v>22</v>
      </c>
      <c r="I716" s="23">
        <v>2</v>
      </c>
      <c r="J716" s="25">
        <v>4.5</v>
      </c>
      <c r="K716" s="23"/>
      <c r="L716" s="23"/>
      <c r="M716" s="23"/>
      <c r="N716" s="24"/>
      <c r="O716" s="23">
        <v>471</v>
      </c>
      <c r="R716">
        <f t="shared" si="11"/>
        <v>1.5</v>
      </c>
    </row>
    <row r="717" spans="1:18" ht="15.75" thickBot="1">
      <c r="A717" s="35" t="s">
        <v>4689</v>
      </c>
      <c r="B717" s="23" t="s">
        <v>938</v>
      </c>
      <c r="C717" s="23">
        <v>6</v>
      </c>
      <c r="D717" s="23">
        <v>1</v>
      </c>
      <c r="E717" s="23">
        <v>5</v>
      </c>
      <c r="F717" s="23" t="s">
        <v>22</v>
      </c>
      <c r="G717" s="23">
        <v>1</v>
      </c>
      <c r="H717" s="23" t="s">
        <v>22</v>
      </c>
      <c r="I717" s="23" t="s">
        <v>22</v>
      </c>
      <c r="J717" s="23">
        <v>4</v>
      </c>
      <c r="K717" s="23"/>
      <c r="L717" s="23"/>
      <c r="M717" s="23"/>
      <c r="N717" s="24"/>
      <c r="O717" s="23" t="s">
        <v>22</v>
      </c>
      <c r="R717">
        <f t="shared" si="11"/>
        <v>0.66666666666666663</v>
      </c>
    </row>
    <row r="718" spans="1:18" ht="15.75" thickBot="1">
      <c r="A718" s="35" t="s">
        <v>4690</v>
      </c>
      <c r="B718" s="23" t="s">
        <v>644</v>
      </c>
      <c r="C718" s="23">
        <v>3</v>
      </c>
      <c r="D718" s="23">
        <v>2</v>
      </c>
      <c r="E718" s="23">
        <v>1</v>
      </c>
      <c r="F718" s="23">
        <v>1</v>
      </c>
      <c r="G718" s="23">
        <v>1</v>
      </c>
      <c r="H718" s="23" t="s">
        <v>22</v>
      </c>
      <c r="I718" s="23" t="s">
        <v>22</v>
      </c>
      <c r="J718" s="23">
        <v>4</v>
      </c>
      <c r="K718" s="23"/>
      <c r="L718" s="23"/>
      <c r="M718" s="23"/>
      <c r="N718" s="24"/>
      <c r="O718" s="23">
        <v>466</v>
      </c>
      <c r="R718">
        <f t="shared" si="11"/>
        <v>1.3333333333333333</v>
      </c>
    </row>
    <row r="719" spans="1:18" ht="15.75" thickBot="1">
      <c r="A719" s="35" t="s">
        <v>4691</v>
      </c>
      <c r="B719" s="23" t="s">
        <v>939</v>
      </c>
      <c r="C719" s="23">
        <v>9</v>
      </c>
      <c r="D719" s="23">
        <v>2</v>
      </c>
      <c r="E719" s="23">
        <v>7</v>
      </c>
      <c r="F719" s="23">
        <v>2</v>
      </c>
      <c r="G719" s="23">
        <v>1</v>
      </c>
      <c r="H719" s="23" t="s">
        <v>22</v>
      </c>
      <c r="I719" s="23" t="s">
        <v>22</v>
      </c>
      <c r="J719" s="23">
        <v>9</v>
      </c>
      <c r="K719" s="23"/>
      <c r="L719" s="23"/>
      <c r="M719" s="23"/>
      <c r="N719" s="24"/>
      <c r="O719" s="23">
        <v>658</v>
      </c>
      <c r="R719">
        <f t="shared" si="11"/>
        <v>1</v>
      </c>
    </row>
    <row r="720" spans="1:18" ht="15.75" thickBot="1">
      <c r="A720" s="35" t="s">
        <v>4692</v>
      </c>
      <c r="B720" s="23" t="s">
        <v>940</v>
      </c>
      <c r="C720" s="23">
        <v>9</v>
      </c>
      <c r="D720" s="23">
        <v>1</v>
      </c>
      <c r="E720" s="23">
        <v>8</v>
      </c>
      <c r="F720" s="23">
        <v>2</v>
      </c>
      <c r="G720" s="23">
        <v>2</v>
      </c>
      <c r="H720" s="23" t="s">
        <v>22</v>
      </c>
      <c r="I720" s="23">
        <v>1</v>
      </c>
      <c r="J720" s="23">
        <v>10</v>
      </c>
      <c r="K720" s="23"/>
      <c r="L720" s="23"/>
      <c r="M720" s="23"/>
      <c r="N720" s="24"/>
      <c r="O720" s="23" t="s">
        <v>22</v>
      </c>
      <c r="R720">
        <f t="shared" si="11"/>
        <v>1.1111111111111112</v>
      </c>
    </row>
    <row r="721" spans="1:18" ht="15.75" thickBot="1">
      <c r="A721" s="35" t="s">
        <v>4693</v>
      </c>
      <c r="B721" s="23" t="s">
        <v>941</v>
      </c>
      <c r="C721" s="23">
        <v>6</v>
      </c>
      <c r="D721" s="23">
        <v>2</v>
      </c>
      <c r="E721" s="23">
        <v>4</v>
      </c>
      <c r="F721" s="23">
        <v>1</v>
      </c>
      <c r="G721" s="23">
        <v>1</v>
      </c>
      <c r="H721" s="23" t="s">
        <v>22</v>
      </c>
      <c r="I721" s="23" t="s">
        <v>633</v>
      </c>
      <c r="J721" s="23">
        <v>7</v>
      </c>
      <c r="K721" s="23"/>
      <c r="L721" s="23"/>
      <c r="M721" s="23"/>
      <c r="N721" s="24"/>
      <c r="O721" s="23" t="s">
        <v>22</v>
      </c>
      <c r="R721">
        <f t="shared" si="11"/>
        <v>1.1666666666666667</v>
      </c>
    </row>
    <row r="722" spans="1:18" ht="15.75" thickBot="1">
      <c r="A722" s="35" t="s">
        <v>4694</v>
      </c>
      <c r="B722" s="23" t="s">
        <v>644</v>
      </c>
      <c r="C722" s="23">
        <v>4</v>
      </c>
      <c r="D722" s="23">
        <v>3</v>
      </c>
      <c r="E722" s="23">
        <v>1</v>
      </c>
      <c r="F722" s="23">
        <v>1</v>
      </c>
      <c r="G722" s="23">
        <v>2</v>
      </c>
      <c r="H722" s="23" t="s">
        <v>22</v>
      </c>
      <c r="I722" s="23" t="s">
        <v>22</v>
      </c>
      <c r="J722" s="23">
        <v>3</v>
      </c>
      <c r="K722" s="23"/>
      <c r="L722" s="23"/>
      <c r="M722" s="23"/>
      <c r="N722" s="24"/>
      <c r="O722" s="23">
        <v>464</v>
      </c>
      <c r="R722">
        <f t="shared" si="11"/>
        <v>0.75</v>
      </c>
    </row>
    <row r="723" spans="1:18" ht="15.75" thickBot="1">
      <c r="A723" s="39" t="s">
        <v>4533</v>
      </c>
      <c r="B723" s="23" t="s">
        <v>942</v>
      </c>
      <c r="C723" s="23">
        <v>6</v>
      </c>
      <c r="D723" s="23">
        <v>2</v>
      </c>
      <c r="E723" s="23"/>
      <c r="F723" s="23" t="s">
        <v>22</v>
      </c>
      <c r="G723" s="23">
        <v>1</v>
      </c>
      <c r="H723" s="23" t="s">
        <v>22</v>
      </c>
      <c r="I723" s="23" t="s">
        <v>22</v>
      </c>
      <c r="J723" s="23">
        <v>11</v>
      </c>
      <c r="K723" s="23"/>
      <c r="L723" s="23"/>
      <c r="M723" s="23"/>
      <c r="N723" s="24"/>
      <c r="O723" s="23">
        <v>718</v>
      </c>
      <c r="R723">
        <f t="shared" si="11"/>
        <v>1.8333333333333333</v>
      </c>
    </row>
    <row r="724" spans="1:18" ht="15.75" thickBot="1">
      <c r="A724" s="35" t="s">
        <v>4647</v>
      </c>
      <c r="B724" s="23" t="s">
        <v>943</v>
      </c>
      <c r="C724" s="23">
        <v>2</v>
      </c>
      <c r="D724" s="23" t="s">
        <v>22</v>
      </c>
      <c r="E724" s="23">
        <v>2</v>
      </c>
      <c r="F724" s="23">
        <v>1</v>
      </c>
      <c r="G724" s="23">
        <v>1</v>
      </c>
      <c r="H724" s="23" t="s">
        <v>22</v>
      </c>
      <c r="I724" s="23" t="s">
        <v>22</v>
      </c>
      <c r="J724" s="23" t="s">
        <v>22</v>
      </c>
      <c r="K724" s="23"/>
      <c r="L724" s="23"/>
      <c r="M724" s="23"/>
      <c r="N724" s="24"/>
      <c r="O724" s="23">
        <v>440</v>
      </c>
      <c r="R724" t="e">
        <f t="shared" si="11"/>
        <v>#VALUE!</v>
      </c>
    </row>
    <row r="725" spans="1:18" ht="39" thickBot="1">
      <c r="A725" s="35" t="s">
        <v>4557</v>
      </c>
      <c r="B725" s="23" t="s">
        <v>944</v>
      </c>
      <c r="C725" s="23">
        <v>6</v>
      </c>
      <c r="D725" s="23">
        <v>2</v>
      </c>
      <c r="E725" s="23">
        <v>4</v>
      </c>
      <c r="F725" s="23">
        <v>1</v>
      </c>
      <c r="G725" s="23">
        <v>1</v>
      </c>
      <c r="H725" s="23" t="s">
        <v>22</v>
      </c>
      <c r="I725" s="23" t="s">
        <v>22</v>
      </c>
      <c r="J725" s="23">
        <v>6</v>
      </c>
      <c r="K725" s="23"/>
      <c r="L725" s="23"/>
      <c r="M725" s="23"/>
      <c r="N725" s="24"/>
      <c r="O725" s="23" t="s">
        <v>945</v>
      </c>
      <c r="R725">
        <f t="shared" si="11"/>
        <v>1</v>
      </c>
    </row>
    <row r="726" spans="1:18" ht="15.75" thickBot="1">
      <c r="A726" s="35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4"/>
      <c r="O726" s="23"/>
      <c r="R726" t="e">
        <f t="shared" si="11"/>
        <v>#DIV/0!</v>
      </c>
    </row>
    <row r="727" spans="1:18" ht="15.75" thickBot="1">
      <c r="A727" s="35" t="s">
        <v>4695</v>
      </c>
      <c r="B727" s="23" t="s">
        <v>946</v>
      </c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4"/>
      <c r="O727" s="23">
        <v>689</v>
      </c>
      <c r="R727" t="e">
        <f t="shared" si="11"/>
        <v>#DIV/0!</v>
      </c>
    </row>
    <row r="728" spans="1:18" ht="15.75" thickBot="1">
      <c r="A728" s="35" t="s">
        <v>4696</v>
      </c>
      <c r="B728" s="23" t="s">
        <v>947</v>
      </c>
      <c r="C728" s="23">
        <v>5</v>
      </c>
      <c r="D728" s="23">
        <v>1</v>
      </c>
      <c r="E728" s="23">
        <v>4</v>
      </c>
      <c r="F728" s="23">
        <v>1</v>
      </c>
      <c r="G728" s="23">
        <v>1</v>
      </c>
      <c r="H728" s="23" t="s">
        <v>22</v>
      </c>
      <c r="I728" s="23" t="s">
        <v>22</v>
      </c>
      <c r="J728" s="23">
        <v>7</v>
      </c>
      <c r="K728" s="23"/>
      <c r="L728" s="23"/>
      <c r="M728" s="23"/>
      <c r="N728" s="24"/>
      <c r="O728" s="23">
        <v>686</v>
      </c>
      <c r="R728">
        <f t="shared" si="11"/>
        <v>1.4</v>
      </c>
    </row>
    <row r="729" spans="1:18" ht="15.75" thickBot="1">
      <c r="A729" s="35" t="s">
        <v>4697</v>
      </c>
      <c r="B729" s="23" t="s">
        <v>644</v>
      </c>
      <c r="C729" s="23">
        <v>3</v>
      </c>
      <c r="D729" s="23">
        <v>1</v>
      </c>
      <c r="E729" s="23">
        <v>2</v>
      </c>
      <c r="F729" s="23">
        <v>1</v>
      </c>
      <c r="G729" s="23">
        <v>1</v>
      </c>
      <c r="H729" s="23" t="s">
        <v>22</v>
      </c>
      <c r="I729" s="23">
        <v>1</v>
      </c>
      <c r="J729" s="25">
        <v>4.5</v>
      </c>
      <c r="K729" s="23"/>
      <c r="L729" s="23"/>
      <c r="M729" s="23"/>
      <c r="N729" s="24"/>
      <c r="O729" s="23"/>
      <c r="R729">
        <f t="shared" si="11"/>
        <v>1.5</v>
      </c>
    </row>
    <row r="730" spans="1:18" ht="15.75" thickBot="1">
      <c r="A730" s="35" t="s">
        <v>4698</v>
      </c>
      <c r="B730" s="23" t="s">
        <v>948</v>
      </c>
      <c r="C730" s="23">
        <v>4</v>
      </c>
      <c r="D730" s="23">
        <v>1</v>
      </c>
      <c r="E730" s="23">
        <v>3</v>
      </c>
      <c r="F730" s="23">
        <v>1</v>
      </c>
      <c r="G730" s="23">
        <v>1</v>
      </c>
      <c r="H730" s="23" t="s">
        <v>22</v>
      </c>
      <c r="I730" s="23" t="s">
        <v>22</v>
      </c>
      <c r="J730" s="23">
        <v>6</v>
      </c>
      <c r="K730" s="23"/>
      <c r="L730" s="23"/>
      <c r="M730" s="23"/>
      <c r="N730" s="24"/>
      <c r="O730" s="23">
        <v>668</v>
      </c>
      <c r="R730">
        <f t="shared" si="11"/>
        <v>1.5</v>
      </c>
    </row>
    <row r="731" spans="1:18" ht="15.75" thickBot="1">
      <c r="A731" s="35" t="s">
        <v>4699</v>
      </c>
      <c r="B731" s="23" t="s">
        <v>949</v>
      </c>
      <c r="C731" s="23">
        <v>2</v>
      </c>
      <c r="D731" s="23">
        <v>1</v>
      </c>
      <c r="E731" s="23">
        <v>1</v>
      </c>
      <c r="F731" s="23">
        <v>1</v>
      </c>
      <c r="G731" s="23" t="s">
        <v>22</v>
      </c>
      <c r="H731" s="23" t="s">
        <v>22</v>
      </c>
      <c r="I731" s="23" t="s">
        <v>22</v>
      </c>
      <c r="J731" s="23">
        <v>2</v>
      </c>
      <c r="K731" s="23"/>
      <c r="L731" s="23"/>
      <c r="M731" s="23"/>
      <c r="N731" s="24"/>
      <c r="O731" s="23">
        <v>670</v>
      </c>
      <c r="R731">
        <f t="shared" si="11"/>
        <v>1</v>
      </c>
    </row>
    <row r="732" spans="1:18" ht="15.75" thickBot="1">
      <c r="A732" s="35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4"/>
      <c r="O732" s="23"/>
      <c r="R732" t="e">
        <f t="shared" si="11"/>
        <v>#DIV/0!</v>
      </c>
    </row>
    <row r="733" spans="1:18" ht="15.75" thickBot="1">
      <c r="A733" s="35" t="s">
        <v>582</v>
      </c>
      <c r="B733" s="23" t="s">
        <v>950</v>
      </c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4"/>
      <c r="O733" s="23" t="s">
        <v>22</v>
      </c>
      <c r="R733" t="e">
        <f t="shared" si="11"/>
        <v>#DIV/0!</v>
      </c>
    </row>
    <row r="734" spans="1:18" ht="15.75" thickBot="1">
      <c r="A734" s="35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4"/>
      <c r="O734" s="23"/>
      <c r="R734" t="e">
        <f t="shared" si="11"/>
        <v>#DIV/0!</v>
      </c>
    </row>
    <row r="735" spans="1:18" ht="15.75" thickBot="1">
      <c r="A735" s="35" t="s">
        <v>583</v>
      </c>
      <c r="B735" s="23" t="s">
        <v>951</v>
      </c>
      <c r="C735" s="23">
        <v>7</v>
      </c>
      <c r="D735" s="23">
        <v>2</v>
      </c>
      <c r="E735" s="23">
        <v>5</v>
      </c>
      <c r="F735" s="23">
        <v>2</v>
      </c>
      <c r="G735" s="23">
        <v>2</v>
      </c>
      <c r="H735" s="23" t="s">
        <v>22</v>
      </c>
      <c r="I735" s="23" t="s">
        <v>22</v>
      </c>
      <c r="J735" s="23">
        <v>9</v>
      </c>
      <c r="K735" s="23"/>
      <c r="L735" s="23"/>
      <c r="M735" s="23"/>
      <c r="N735" s="24"/>
      <c r="O735" s="23" t="s">
        <v>22</v>
      </c>
      <c r="R735">
        <f t="shared" si="11"/>
        <v>1.2857142857142858</v>
      </c>
    </row>
    <row r="736" spans="1:18" ht="15.75" thickBot="1">
      <c r="A736" s="35" t="s">
        <v>584</v>
      </c>
      <c r="B736" s="23" t="s">
        <v>644</v>
      </c>
      <c r="C736" s="23">
        <v>7</v>
      </c>
      <c r="D736" s="23">
        <v>2</v>
      </c>
      <c r="E736" s="23">
        <v>5</v>
      </c>
      <c r="F736" s="23" t="s">
        <v>22</v>
      </c>
      <c r="G736" s="23">
        <v>1</v>
      </c>
      <c r="H736" s="23" t="s">
        <v>22</v>
      </c>
      <c r="I736" s="23" t="s">
        <v>22</v>
      </c>
      <c r="J736" s="25">
        <v>1.3333333333333333</v>
      </c>
      <c r="K736" s="23"/>
      <c r="L736" s="23"/>
      <c r="M736" s="23"/>
      <c r="N736" s="24"/>
      <c r="O736" s="23" t="s">
        <v>657</v>
      </c>
      <c r="R736">
        <f t="shared" si="11"/>
        <v>0.19047619047619047</v>
      </c>
    </row>
    <row r="737" spans="1:18" ht="15.75" thickBot="1">
      <c r="A737" s="35" t="s">
        <v>585</v>
      </c>
      <c r="B737" s="23" t="s">
        <v>952</v>
      </c>
      <c r="C737" s="23">
        <v>6</v>
      </c>
      <c r="D737" s="23">
        <v>1</v>
      </c>
      <c r="E737" s="23">
        <v>5</v>
      </c>
      <c r="F737" s="23" t="s">
        <v>22</v>
      </c>
      <c r="G737" s="23">
        <v>2</v>
      </c>
      <c r="H737" s="23" t="s">
        <v>22</v>
      </c>
      <c r="I737" s="23" t="s">
        <v>22</v>
      </c>
      <c r="J737" s="23">
        <v>9</v>
      </c>
      <c r="K737" s="23"/>
      <c r="L737" s="23"/>
      <c r="M737" s="23"/>
      <c r="N737" s="24"/>
      <c r="O737" s="23">
        <v>88</v>
      </c>
      <c r="R737">
        <f t="shared" si="11"/>
        <v>1.5</v>
      </c>
    </row>
    <row r="738" spans="1:18" ht="15.75" thickBot="1">
      <c r="A738" s="35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4"/>
      <c r="O738" s="23"/>
      <c r="R738" t="e">
        <f t="shared" si="11"/>
        <v>#DIV/0!</v>
      </c>
    </row>
    <row r="739" spans="1:18" ht="15.75" thickBot="1">
      <c r="A739" s="35" t="s">
        <v>586</v>
      </c>
      <c r="B739" s="23" t="s">
        <v>953</v>
      </c>
      <c r="C739" s="23">
        <v>5</v>
      </c>
      <c r="D739" s="23" t="s">
        <v>22</v>
      </c>
      <c r="E739" s="23">
        <v>5</v>
      </c>
      <c r="F739" s="23" t="s">
        <v>22</v>
      </c>
      <c r="G739" s="23">
        <v>1</v>
      </c>
      <c r="H739" s="23" t="s">
        <v>22</v>
      </c>
      <c r="I739" s="23" t="s">
        <v>22</v>
      </c>
      <c r="J739" s="23" t="s">
        <v>22</v>
      </c>
      <c r="K739" s="23"/>
      <c r="L739" s="23"/>
      <c r="M739" s="23"/>
      <c r="N739" s="24"/>
      <c r="O739" s="23" t="s">
        <v>22</v>
      </c>
      <c r="R739" t="e">
        <f t="shared" si="11"/>
        <v>#VALUE!</v>
      </c>
    </row>
    <row r="740" spans="1:18" ht="15.75" thickBot="1">
      <c r="A740" s="35"/>
      <c r="B740" s="23"/>
      <c r="C740" s="23"/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4"/>
      <c r="O740" s="23"/>
      <c r="R740" t="e">
        <f t="shared" si="11"/>
        <v>#DIV/0!</v>
      </c>
    </row>
    <row r="741" spans="1:18" ht="15.75" thickBot="1">
      <c r="A741" s="35" t="s">
        <v>587</v>
      </c>
      <c r="B741" s="23" t="s">
        <v>954</v>
      </c>
      <c r="C741" s="23">
        <v>6</v>
      </c>
      <c r="D741" s="23">
        <v>2</v>
      </c>
      <c r="E741" s="23">
        <v>4</v>
      </c>
      <c r="F741" s="23" t="s">
        <v>22</v>
      </c>
      <c r="G741" s="23">
        <v>1</v>
      </c>
      <c r="H741" s="23" t="s">
        <v>22</v>
      </c>
      <c r="I741" s="23" t="s">
        <v>22</v>
      </c>
      <c r="J741" s="23">
        <v>8</v>
      </c>
      <c r="K741" s="23"/>
      <c r="L741" s="23"/>
      <c r="M741" s="23"/>
      <c r="N741" s="24"/>
      <c r="O741" s="23" t="s">
        <v>22</v>
      </c>
      <c r="R741">
        <f t="shared" si="11"/>
        <v>1.3333333333333333</v>
      </c>
    </row>
    <row r="742" spans="1:18" ht="15.75" thickBot="1">
      <c r="A742" s="35"/>
      <c r="B742" s="23"/>
      <c r="C742" s="23"/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4"/>
      <c r="O742" s="23"/>
      <c r="R742" t="e">
        <f t="shared" si="11"/>
        <v>#DIV/0!</v>
      </c>
    </row>
    <row r="743" spans="1:18" ht="15.75" thickBot="1">
      <c r="A743" s="35" t="s">
        <v>588</v>
      </c>
      <c r="B743" s="23" t="s">
        <v>636</v>
      </c>
      <c r="C743" s="23">
        <v>2</v>
      </c>
      <c r="D743" s="23" t="s">
        <v>22</v>
      </c>
      <c r="E743" s="23">
        <v>2</v>
      </c>
      <c r="F743" s="23">
        <v>2</v>
      </c>
      <c r="G743" s="23">
        <v>1</v>
      </c>
      <c r="H743" s="23" t="s">
        <v>22</v>
      </c>
      <c r="I743" s="23">
        <v>3</v>
      </c>
      <c r="J743" s="23">
        <v>10</v>
      </c>
      <c r="K743" s="23"/>
      <c r="L743" s="23"/>
      <c r="M743" s="23"/>
      <c r="N743" s="24"/>
      <c r="O743" s="23" t="s">
        <v>22</v>
      </c>
      <c r="R743">
        <f t="shared" si="11"/>
        <v>5</v>
      </c>
    </row>
    <row r="744" spans="1:18" ht="15.75" thickBot="1">
      <c r="A744" s="35"/>
      <c r="B744" s="23"/>
      <c r="C744" s="23"/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4"/>
      <c r="O744" s="23"/>
      <c r="R744" t="e">
        <f t="shared" si="11"/>
        <v>#DIV/0!</v>
      </c>
    </row>
    <row r="745" spans="1:18" ht="15.75" thickBot="1">
      <c r="A745" s="56" t="s">
        <v>589</v>
      </c>
      <c r="B745" s="23" t="s">
        <v>641</v>
      </c>
      <c r="C745" s="23">
        <v>10</v>
      </c>
      <c r="D745" s="23">
        <v>4</v>
      </c>
      <c r="E745" s="23">
        <v>6</v>
      </c>
      <c r="F745" s="23">
        <v>2</v>
      </c>
      <c r="G745" s="23">
        <v>1</v>
      </c>
      <c r="H745" s="23" t="s">
        <v>22</v>
      </c>
      <c r="I745" s="23" t="s">
        <v>22</v>
      </c>
      <c r="J745" s="23">
        <v>18</v>
      </c>
      <c r="K745" s="23"/>
      <c r="L745" s="23"/>
      <c r="M745" s="23"/>
      <c r="N745" s="24"/>
      <c r="O745" s="23" t="s">
        <v>22</v>
      </c>
      <c r="R745">
        <f t="shared" si="11"/>
        <v>1.8</v>
      </c>
    </row>
    <row r="746" spans="1:18" ht="15.75" thickBot="1">
      <c r="A746" s="35" t="s">
        <v>590</v>
      </c>
      <c r="B746" s="23" t="s">
        <v>641</v>
      </c>
      <c r="C746" s="23">
        <v>7</v>
      </c>
      <c r="D746" s="23">
        <v>2</v>
      </c>
      <c r="E746" s="23">
        <v>5</v>
      </c>
      <c r="F746" s="23">
        <v>1</v>
      </c>
      <c r="G746" s="23">
        <v>1</v>
      </c>
      <c r="H746" s="23" t="s">
        <v>22</v>
      </c>
      <c r="I746" s="23">
        <v>1</v>
      </c>
      <c r="J746" s="23">
        <v>4</v>
      </c>
      <c r="K746" s="23"/>
      <c r="L746" s="23"/>
      <c r="M746" s="23"/>
      <c r="N746" s="24"/>
      <c r="O746" s="23" t="s">
        <v>22</v>
      </c>
      <c r="R746">
        <f t="shared" si="11"/>
        <v>0.5714285714285714</v>
      </c>
    </row>
    <row r="747" spans="1:18" ht="15.75" thickBot="1">
      <c r="A747" s="35"/>
      <c r="B747" s="23"/>
      <c r="C747" s="23"/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4"/>
      <c r="O747" s="23"/>
      <c r="R747" t="e">
        <f t="shared" si="11"/>
        <v>#DIV/0!</v>
      </c>
    </row>
    <row r="748" spans="1:18" ht="15.75" thickBot="1">
      <c r="A748" s="35" t="s">
        <v>591</v>
      </c>
      <c r="B748" s="23" t="s">
        <v>955</v>
      </c>
      <c r="C748" s="23">
        <v>3</v>
      </c>
      <c r="D748" s="23" t="s">
        <v>22</v>
      </c>
      <c r="E748" s="23" t="s">
        <v>22</v>
      </c>
      <c r="F748" s="23">
        <v>1</v>
      </c>
      <c r="G748" s="23">
        <v>1</v>
      </c>
      <c r="H748" s="23" t="s">
        <v>22</v>
      </c>
      <c r="I748" s="23" t="s">
        <v>22</v>
      </c>
      <c r="J748" s="23">
        <v>6</v>
      </c>
      <c r="K748" s="23"/>
      <c r="L748" s="23"/>
      <c r="M748" s="23"/>
      <c r="N748" s="24"/>
      <c r="O748" s="23">
        <v>457</v>
      </c>
      <c r="R748">
        <f t="shared" si="11"/>
        <v>2</v>
      </c>
    </row>
    <row r="749" spans="1:18" ht="15.75" thickBot="1">
      <c r="A749" s="35" t="s">
        <v>592</v>
      </c>
      <c r="B749" s="23" t="s">
        <v>956</v>
      </c>
      <c r="C749" s="23">
        <v>6</v>
      </c>
      <c r="D749" s="23">
        <v>1</v>
      </c>
      <c r="E749" s="23" t="s">
        <v>22</v>
      </c>
      <c r="F749" s="23">
        <v>1</v>
      </c>
      <c r="G749" s="23">
        <v>1</v>
      </c>
      <c r="H749" s="23" t="s">
        <v>22</v>
      </c>
      <c r="I749" s="23" t="s">
        <v>22</v>
      </c>
      <c r="J749" s="23">
        <v>8</v>
      </c>
      <c r="K749" s="23"/>
      <c r="L749" s="23"/>
      <c r="M749" s="23"/>
      <c r="N749" s="24"/>
      <c r="O749" s="23">
        <v>458</v>
      </c>
      <c r="R749">
        <f t="shared" si="11"/>
        <v>1.3333333333333333</v>
      </c>
    </row>
    <row r="750" spans="1:18" ht="15.75" thickBot="1">
      <c r="A750" s="35"/>
      <c r="B750" s="23"/>
      <c r="C750" s="23"/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4"/>
      <c r="O750" s="23"/>
      <c r="R750" t="e">
        <f t="shared" si="11"/>
        <v>#DIV/0!</v>
      </c>
    </row>
    <row r="751" spans="1:18" ht="15.75" thickBot="1">
      <c r="A751" s="35" t="s">
        <v>593</v>
      </c>
      <c r="B751" s="23" t="s">
        <v>957</v>
      </c>
      <c r="C751" s="23">
        <v>5</v>
      </c>
      <c r="D751" s="23">
        <v>1</v>
      </c>
      <c r="E751" s="23">
        <v>4</v>
      </c>
      <c r="F751" s="23">
        <v>1</v>
      </c>
      <c r="G751" s="23">
        <v>1</v>
      </c>
      <c r="H751" s="23" t="s">
        <v>22</v>
      </c>
      <c r="I751" s="23" t="s">
        <v>22</v>
      </c>
      <c r="J751" s="23">
        <v>4</v>
      </c>
      <c r="K751" s="23"/>
      <c r="L751" s="23"/>
      <c r="M751" s="23"/>
      <c r="N751" s="24"/>
      <c r="O751" s="23" t="s">
        <v>22</v>
      </c>
      <c r="R751">
        <f t="shared" si="11"/>
        <v>0.8</v>
      </c>
    </row>
    <row r="752" spans="1:18" ht="15.75" thickBot="1">
      <c r="A752" s="35" t="s">
        <v>594</v>
      </c>
      <c r="B752" s="23" t="s">
        <v>641</v>
      </c>
      <c r="C752" s="23">
        <v>6</v>
      </c>
      <c r="D752" s="23">
        <v>2</v>
      </c>
      <c r="E752" s="23">
        <v>4</v>
      </c>
      <c r="F752" s="23">
        <v>1</v>
      </c>
      <c r="G752" s="23">
        <v>1</v>
      </c>
      <c r="H752" s="23" t="s">
        <v>22</v>
      </c>
      <c r="I752" s="23" t="s">
        <v>22</v>
      </c>
      <c r="J752" s="23">
        <v>10</v>
      </c>
      <c r="K752" s="23"/>
      <c r="L752" s="23"/>
      <c r="M752" s="23"/>
      <c r="N752" s="24"/>
      <c r="O752" s="23" t="s">
        <v>22</v>
      </c>
      <c r="R752">
        <f t="shared" si="11"/>
        <v>1.6666666666666667</v>
      </c>
    </row>
    <row r="753" spans="1:18" ht="15.75" thickBot="1">
      <c r="A753" s="35" t="s">
        <v>595</v>
      </c>
      <c r="B753" s="23" t="s">
        <v>710</v>
      </c>
      <c r="C753" s="23">
        <v>4</v>
      </c>
      <c r="D753" s="23">
        <v>2</v>
      </c>
      <c r="E753" s="23">
        <v>2</v>
      </c>
      <c r="F753" s="23" t="s">
        <v>22</v>
      </c>
      <c r="G753" s="23" t="s">
        <v>22</v>
      </c>
      <c r="H753" s="23" t="s">
        <v>22</v>
      </c>
      <c r="I753" s="23" t="s">
        <v>22</v>
      </c>
      <c r="J753" s="23" t="s">
        <v>22</v>
      </c>
      <c r="K753" s="23"/>
      <c r="L753" s="23"/>
      <c r="M753" s="23"/>
      <c r="N753" s="24"/>
      <c r="O753" s="23" t="s">
        <v>22</v>
      </c>
      <c r="R753" t="e">
        <f t="shared" si="11"/>
        <v>#VALUE!</v>
      </c>
    </row>
    <row r="754" spans="1:18" ht="15.75" thickBot="1">
      <c r="A754" s="35"/>
      <c r="B754" s="23"/>
      <c r="C754" s="23"/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4"/>
      <c r="O754" s="23"/>
      <c r="R754" t="e">
        <f t="shared" si="11"/>
        <v>#DIV/0!</v>
      </c>
    </row>
    <row r="755" spans="1:18" ht="15.75" thickBot="1">
      <c r="A755" s="35"/>
      <c r="B755" s="23"/>
      <c r="C755" s="23"/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4"/>
      <c r="O755" s="23"/>
      <c r="R755" t="e">
        <f t="shared" si="11"/>
        <v>#DIV/0!</v>
      </c>
    </row>
    <row r="756" spans="1:18" ht="15.75" thickBot="1">
      <c r="A756" s="35" t="s">
        <v>596</v>
      </c>
      <c r="B756" s="23" t="s">
        <v>710</v>
      </c>
      <c r="C756" s="23">
        <v>3</v>
      </c>
      <c r="D756" s="23">
        <v>2</v>
      </c>
      <c r="E756" s="23">
        <v>1</v>
      </c>
      <c r="F756" s="23" t="s">
        <v>22</v>
      </c>
      <c r="G756" s="23" t="s">
        <v>22</v>
      </c>
      <c r="H756" s="23" t="s">
        <v>22</v>
      </c>
      <c r="I756" s="23" t="s">
        <v>22</v>
      </c>
      <c r="J756" s="23" t="s">
        <v>22</v>
      </c>
      <c r="K756" s="23"/>
      <c r="L756" s="23"/>
      <c r="M756" s="23"/>
      <c r="N756" s="24"/>
      <c r="O756" s="23" t="s">
        <v>22</v>
      </c>
      <c r="R756" t="e">
        <f t="shared" si="11"/>
        <v>#VALUE!</v>
      </c>
    </row>
    <row r="757" spans="1:18" ht="15.75" thickBot="1">
      <c r="A757" s="35"/>
      <c r="B757" s="23"/>
      <c r="C757" s="23"/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4"/>
      <c r="O757" s="23"/>
      <c r="R757" t="e">
        <f t="shared" si="11"/>
        <v>#DIV/0!</v>
      </c>
    </row>
    <row r="758" spans="1:18">
      <c r="R758" s="155">
        <f>SUMIF(R2:R757,"&lt;1E100")/COUNT(R2:R757)</f>
        <v>1.3226477432950654</v>
      </c>
    </row>
  </sheetData>
  <mergeCells count="28">
    <mergeCell ref="I207:I208"/>
    <mergeCell ref="J207:J208"/>
    <mergeCell ref="K207:K208"/>
    <mergeCell ref="L207:L208"/>
    <mergeCell ref="M207:M208"/>
    <mergeCell ref="N207:N208"/>
    <mergeCell ref="M81:M82"/>
    <mergeCell ref="N81:N82"/>
    <mergeCell ref="A207:A208"/>
    <mergeCell ref="B207:B208"/>
    <mergeCell ref="C207:C208"/>
    <mergeCell ref="D207:D208"/>
    <mergeCell ref="E207:E208"/>
    <mergeCell ref="F207:F208"/>
    <mergeCell ref="G207:G208"/>
    <mergeCell ref="H207:H208"/>
    <mergeCell ref="G81:G82"/>
    <mergeCell ref="H81:H82"/>
    <mergeCell ref="I81:I82"/>
    <mergeCell ref="J81:J82"/>
    <mergeCell ref="K81:K82"/>
    <mergeCell ref="L81:L82"/>
    <mergeCell ref="A81:A82"/>
    <mergeCell ref="B81:B82"/>
    <mergeCell ref="C81:C82"/>
    <mergeCell ref="D81:D82"/>
    <mergeCell ref="E81:E82"/>
    <mergeCell ref="F81:F8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3872-0D55-4865-985F-E3CE6BC06FB1}">
  <sheetPr codeName="Лист6"/>
  <dimension ref="A1:G1079"/>
  <sheetViews>
    <sheetView workbookViewId="0">
      <pane ySplit="1" topLeftCell="A2" activePane="bottomLeft" state="frozen"/>
      <selection pane="bottomLeft" activeCell="D116" sqref="D116"/>
    </sheetView>
  </sheetViews>
  <sheetFormatPr defaultRowHeight="15"/>
  <cols>
    <col min="1" max="1" width="45.28515625" bestFit="1" customWidth="1"/>
    <col min="2" max="2" width="12" bestFit="1" customWidth="1"/>
    <col min="3" max="3" width="20.140625" bestFit="1" customWidth="1"/>
    <col min="4" max="4" width="31.5703125" customWidth="1"/>
    <col min="5" max="5" width="32" bestFit="1" customWidth="1"/>
    <col min="6" max="6" width="15.140625" bestFit="1" customWidth="1"/>
  </cols>
  <sheetData>
    <row r="1" spans="1:7">
      <c r="A1" s="6" t="s">
        <v>960</v>
      </c>
      <c r="B1" t="s">
        <v>961</v>
      </c>
      <c r="C1" t="s">
        <v>962</v>
      </c>
      <c r="D1" t="s">
        <v>609</v>
      </c>
      <c r="E1" t="s">
        <v>963</v>
      </c>
      <c r="F1" t="s">
        <v>2433</v>
      </c>
      <c r="G1" t="s">
        <v>2434</v>
      </c>
    </row>
    <row r="2" spans="1:7">
      <c r="A2" s="6"/>
      <c r="F2" t="s">
        <v>2435</v>
      </c>
    </row>
    <row r="3" spans="1:7">
      <c r="A3" s="6" t="s">
        <v>964</v>
      </c>
      <c r="B3" t="s">
        <v>965</v>
      </c>
      <c r="C3" t="s">
        <v>966</v>
      </c>
      <c r="D3" t="s">
        <v>967</v>
      </c>
      <c r="E3" t="s">
        <v>968</v>
      </c>
      <c r="F3" t="str">
        <f>LEFT(RIGHT(D3,LEN(D3)-FIND(",",D3)-1),2)</f>
        <v>30</v>
      </c>
      <c r="G3" t="str">
        <f>1922-F3 - 1 &amp;"/"&amp; 1922-F3</f>
        <v>1891/1892</v>
      </c>
    </row>
    <row r="4" spans="1:7">
      <c r="A4" s="6" t="s">
        <v>188</v>
      </c>
      <c r="B4" t="s">
        <v>965</v>
      </c>
      <c r="C4" t="s">
        <v>966</v>
      </c>
      <c r="D4" t="s">
        <v>969</v>
      </c>
      <c r="E4" t="s">
        <v>970</v>
      </c>
      <c r="F4" s="12">
        <v>45</v>
      </c>
      <c r="G4" t="s">
        <v>2470</v>
      </c>
    </row>
    <row r="5" spans="1:7">
      <c r="A5" s="6" t="s">
        <v>971</v>
      </c>
      <c r="B5" t="s">
        <v>965</v>
      </c>
      <c r="C5" t="s">
        <v>966</v>
      </c>
      <c r="D5" t="s">
        <v>972</v>
      </c>
      <c r="E5" t="s">
        <v>973</v>
      </c>
      <c r="F5" s="12">
        <v>70</v>
      </c>
      <c r="G5" t="s">
        <v>2471</v>
      </c>
    </row>
    <row r="6" spans="1:7">
      <c r="A6" s="6" t="s">
        <v>974</v>
      </c>
      <c r="B6" t="s">
        <v>965</v>
      </c>
      <c r="C6" t="s">
        <v>966</v>
      </c>
      <c r="D6" t="s">
        <v>975</v>
      </c>
      <c r="E6" t="s">
        <v>976</v>
      </c>
      <c r="F6" s="12">
        <v>22</v>
      </c>
      <c r="G6" t="s">
        <v>2472</v>
      </c>
    </row>
    <row r="7" spans="1:7">
      <c r="A7" s="6" t="s">
        <v>190</v>
      </c>
      <c r="B7" t="s">
        <v>965</v>
      </c>
      <c r="C7" t="s">
        <v>966</v>
      </c>
      <c r="D7" t="s">
        <v>977</v>
      </c>
      <c r="E7" t="s">
        <v>968</v>
      </c>
      <c r="F7" s="12">
        <v>36</v>
      </c>
      <c r="G7" t="s">
        <v>2473</v>
      </c>
    </row>
    <row r="8" spans="1:7">
      <c r="A8" s="6" t="s">
        <v>191</v>
      </c>
      <c r="B8" t="s">
        <v>965</v>
      </c>
      <c r="C8" t="s">
        <v>966</v>
      </c>
      <c r="D8" t="s">
        <v>978</v>
      </c>
      <c r="E8" t="s">
        <v>968</v>
      </c>
      <c r="F8" s="12">
        <v>54</v>
      </c>
      <c r="G8" t="s">
        <v>2474</v>
      </c>
    </row>
    <row r="9" spans="1:7">
      <c r="A9" s="6" t="s">
        <v>979</v>
      </c>
      <c r="B9" t="s">
        <v>965</v>
      </c>
      <c r="C9" t="s">
        <v>966</v>
      </c>
      <c r="D9" t="s">
        <v>980</v>
      </c>
      <c r="E9" t="s">
        <v>973</v>
      </c>
      <c r="F9" s="12">
        <v>44</v>
      </c>
      <c r="G9" t="s">
        <v>2475</v>
      </c>
    </row>
    <row r="10" spans="1:7">
      <c r="A10" s="6" t="s">
        <v>192</v>
      </c>
      <c r="B10" t="s">
        <v>965</v>
      </c>
      <c r="C10" t="s">
        <v>966</v>
      </c>
      <c r="D10" t="s">
        <v>981</v>
      </c>
      <c r="E10" t="s">
        <v>973</v>
      </c>
      <c r="F10" s="12">
        <v>44</v>
      </c>
      <c r="G10" t="s">
        <v>2475</v>
      </c>
    </row>
    <row r="11" spans="1:7">
      <c r="A11" s="6" t="s">
        <v>194</v>
      </c>
      <c r="B11" t="s">
        <v>965</v>
      </c>
      <c r="C11" t="s">
        <v>966</v>
      </c>
      <c r="D11" t="s">
        <v>982</v>
      </c>
      <c r="E11" t="s">
        <v>968</v>
      </c>
      <c r="F11" s="12">
        <v>32</v>
      </c>
      <c r="G11" t="s">
        <v>2476</v>
      </c>
    </row>
    <row r="12" spans="1:7">
      <c r="A12" s="6" t="s">
        <v>983</v>
      </c>
      <c r="B12" t="s">
        <v>965</v>
      </c>
      <c r="C12" t="s">
        <v>966</v>
      </c>
      <c r="D12" t="s">
        <v>984</v>
      </c>
      <c r="E12" t="s">
        <v>973</v>
      </c>
      <c r="F12" s="12">
        <v>18</v>
      </c>
      <c r="G12" t="s">
        <v>2477</v>
      </c>
    </row>
    <row r="13" spans="1:7">
      <c r="A13" s="6" t="s">
        <v>197</v>
      </c>
      <c r="B13" t="s">
        <v>965</v>
      </c>
      <c r="C13" t="s">
        <v>966</v>
      </c>
      <c r="D13" t="s">
        <v>985</v>
      </c>
      <c r="E13" t="s">
        <v>986</v>
      </c>
      <c r="F13" s="12">
        <v>48</v>
      </c>
      <c r="G13" t="s">
        <v>2478</v>
      </c>
    </row>
    <row r="14" spans="1:7">
      <c r="A14" s="6" t="s">
        <v>198</v>
      </c>
      <c r="B14" t="s">
        <v>965</v>
      </c>
      <c r="C14" t="s">
        <v>966</v>
      </c>
      <c r="D14" t="s">
        <v>987</v>
      </c>
      <c r="E14" t="s">
        <v>970</v>
      </c>
      <c r="F14" s="12">
        <v>66</v>
      </c>
      <c r="G14" t="s">
        <v>2479</v>
      </c>
    </row>
    <row r="15" spans="1:7">
      <c r="A15" s="6" t="s">
        <v>988</v>
      </c>
      <c r="B15" t="s">
        <v>965</v>
      </c>
      <c r="C15" t="s">
        <v>966</v>
      </c>
      <c r="D15" t="s">
        <v>989</v>
      </c>
      <c r="E15" t="s">
        <v>970</v>
      </c>
      <c r="F15" s="12">
        <v>31</v>
      </c>
      <c r="G15" t="s">
        <v>2480</v>
      </c>
    </row>
    <row r="16" spans="1:7">
      <c r="A16" s="6" t="s">
        <v>990</v>
      </c>
      <c r="B16" t="s">
        <v>965</v>
      </c>
      <c r="C16" t="s">
        <v>966</v>
      </c>
      <c r="D16" t="s">
        <v>991</v>
      </c>
      <c r="E16" t="s">
        <v>973</v>
      </c>
      <c r="F16" s="12">
        <v>20</v>
      </c>
      <c r="G16" t="s">
        <v>2481</v>
      </c>
    </row>
    <row r="17" spans="1:7">
      <c r="A17" s="6" t="s">
        <v>992</v>
      </c>
      <c r="B17" t="s">
        <v>965</v>
      </c>
      <c r="C17" t="s">
        <v>966</v>
      </c>
      <c r="D17" t="s">
        <v>993</v>
      </c>
      <c r="E17" t="s">
        <v>970</v>
      </c>
      <c r="F17" s="12">
        <v>22</v>
      </c>
      <c r="G17" t="s">
        <v>2472</v>
      </c>
    </row>
    <row r="18" spans="1:7">
      <c r="A18" s="6" t="s">
        <v>199</v>
      </c>
      <c r="B18" t="s">
        <v>965</v>
      </c>
      <c r="C18" t="s">
        <v>966</v>
      </c>
      <c r="D18" t="s">
        <v>994</v>
      </c>
      <c r="E18" t="s">
        <v>995</v>
      </c>
      <c r="F18" s="12">
        <v>31</v>
      </c>
      <c r="G18" t="s">
        <v>2480</v>
      </c>
    </row>
    <row r="19" spans="1:7">
      <c r="A19" s="6"/>
      <c r="G19" t="s">
        <v>2482</v>
      </c>
    </row>
    <row r="20" spans="1:7">
      <c r="A20" s="6" t="s">
        <v>996</v>
      </c>
      <c r="B20" t="s">
        <v>965</v>
      </c>
      <c r="C20" t="s">
        <v>966</v>
      </c>
      <c r="D20" t="s">
        <v>997</v>
      </c>
      <c r="E20" t="s">
        <v>973</v>
      </c>
      <c r="F20" s="12">
        <v>45</v>
      </c>
      <c r="G20" t="s">
        <v>2470</v>
      </c>
    </row>
    <row r="21" spans="1:7">
      <c r="A21" s="6" t="s">
        <v>998</v>
      </c>
      <c r="B21" t="s">
        <v>965</v>
      </c>
      <c r="C21" t="s">
        <v>966</v>
      </c>
      <c r="D21" t="s">
        <v>999</v>
      </c>
      <c r="E21" t="s">
        <v>970</v>
      </c>
      <c r="F21" s="12">
        <v>19</v>
      </c>
      <c r="G21" t="s">
        <v>2483</v>
      </c>
    </row>
    <row r="22" spans="1:7">
      <c r="A22" s="6" t="s">
        <v>1000</v>
      </c>
      <c r="B22" t="s">
        <v>965</v>
      </c>
      <c r="C22" t="s">
        <v>966</v>
      </c>
      <c r="D22" t="s">
        <v>1001</v>
      </c>
      <c r="E22" t="s">
        <v>970</v>
      </c>
      <c r="F22" s="12">
        <v>19</v>
      </c>
      <c r="G22" t="s">
        <v>2483</v>
      </c>
    </row>
    <row r="23" spans="1:7">
      <c r="A23" s="6" t="s">
        <v>1002</v>
      </c>
      <c r="B23" t="s">
        <v>965</v>
      </c>
      <c r="C23" t="s">
        <v>966</v>
      </c>
      <c r="D23" t="s">
        <v>1003</v>
      </c>
      <c r="E23" t="s">
        <v>970</v>
      </c>
      <c r="F23" s="12">
        <v>60</v>
      </c>
      <c r="G23" t="s">
        <v>2484</v>
      </c>
    </row>
    <row r="24" spans="1:7">
      <c r="A24" s="6"/>
      <c r="G24" t="s">
        <v>2482</v>
      </c>
    </row>
    <row r="25" spans="1:7">
      <c r="A25" s="6" t="s">
        <v>4430</v>
      </c>
      <c r="B25" t="s">
        <v>965</v>
      </c>
      <c r="C25" t="s">
        <v>966</v>
      </c>
      <c r="D25" t="s">
        <v>1004</v>
      </c>
      <c r="E25" t="s">
        <v>1005</v>
      </c>
      <c r="F25" s="12">
        <v>30</v>
      </c>
      <c r="G25" t="s">
        <v>2485</v>
      </c>
    </row>
    <row r="26" spans="1:7">
      <c r="A26" s="6" t="s">
        <v>4431</v>
      </c>
      <c r="B26" t="s">
        <v>965</v>
      </c>
      <c r="C26" t="s">
        <v>966</v>
      </c>
      <c r="D26" t="s">
        <v>1006</v>
      </c>
      <c r="E26" t="s">
        <v>1007</v>
      </c>
      <c r="F26" s="12">
        <v>42</v>
      </c>
      <c r="G26" t="s">
        <v>2486</v>
      </c>
    </row>
    <row r="27" spans="1:7">
      <c r="A27" s="6" t="s">
        <v>4431</v>
      </c>
      <c r="B27" t="s">
        <v>965</v>
      </c>
      <c r="C27" t="s">
        <v>966</v>
      </c>
      <c r="D27" t="s">
        <v>1008</v>
      </c>
      <c r="E27" t="s">
        <v>1009</v>
      </c>
      <c r="F27" s="12">
        <v>28</v>
      </c>
      <c r="G27" t="s">
        <v>2487</v>
      </c>
    </row>
    <row r="28" spans="1:7">
      <c r="A28" s="6" t="s">
        <v>4432</v>
      </c>
      <c r="B28" t="s">
        <v>965</v>
      </c>
      <c r="C28" t="s">
        <v>966</v>
      </c>
      <c r="D28" t="s">
        <v>1010</v>
      </c>
      <c r="E28" t="s">
        <v>1009</v>
      </c>
      <c r="F28" s="12">
        <v>28</v>
      </c>
      <c r="G28" t="s">
        <v>2487</v>
      </c>
    </row>
    <row r="29" spans="1:7">
      <c r="A29" s="6" t="s">
        <v>4433</v>
      </c>
      <c r="B29" t="s">
        <v>965</v>
      </c>
      <c r="C29" t="s">
        <v>966</v>
      </c>
      <c r="D29" t="s">
        <v>1011</v>
      </c>
      <c r="E29" t="s">
        <v>1012</v>
      </c>
      <c r="F29" s="12">
        <v>32</v>
      </c>
      <c r="G29" t="s">
        <v>2476</v>
      </c>
    </row>
    <row r="30" spans="1:7">
      <c r="A30" s="6" t="s">
        <v>4258</v>
      </c>
      <c r="B30" t="s">
        <v>965</v>
      </c>
      <c r="C30" t="s">
        <v>966</v>
      </c>
      <c r="D30" t="s">
        <v>1013</v>
      </c>
      <c r="E30" t="s">
        <v>1014</v>
      </c>
      <c r="F30" s="12">
        <v>38</v>
      </c>
      <c r="G30" t="s">
        <v>2488</v>
      </c>
    </row>
    <row r="31" spans="1:7">
      <c r="A31" s="6" t="s">
        <v>4374</v>
      </c>
      <c r="B31" t="s">
        <v>965</v>
      </c>
      <c r="C31" t="s">
        <v>966</v>
      </c>
      <c r="D31" t="s">
        <v>1015</v>
      </c>
      <c r="E31" t="s">
        <v>1005</v>
      </c>
      <c r="F31" s="12">
        <v>40</v>
      </c>
      <c r="G31" t="s">
        <v>2489</v>
      </c>
    </row>
    <row r="32" spans="1:7">
      <c r="A32" s="6" t="s">
        <v>4435</v>
      </c>
      <c r="B32" t="s">
        <v>965</v>
      </c>
      <c r="C32" t="s">
        <v>966</v>
      </c>
      <c r="D32" t="s">
        <v>1016</v>
      </c>
      <c r="E32" t="s">
        <v>1017</v>
      </c>
      <c r="F32" s="12">
        <v>50</v>
      </c>
      <c r="G32" t="s">
        <v>2490</v>
      </c>
    </row>
    <row r="33" spans="1:7">
      <c r="A33" s="6" t="s">
        <v>4304</v>
      </c>
      <c r="B33" t="s">
        <v>965</v>
      </c>
      <c r="C33" t="s">
        <v>966</v>
      </c>
      <c r="D33" t="s">
        <v>1018</v>
      </c>
      <c r="E33" t="s">
        <v>1009</v>
      </c>
      <c r="F33" s="12">
        <v>35</v>
      </c>
      <c r="G33" t="s">
        <v>2491</v>
      </c>
    </row>
    <row r="34" spans="1:7">
      <c r="A34" s="6" t="s">
        <v>4325</v>
      </c>
      <c r="B34" t="s">
        <v>965</v>
      </c>
      <c r="C34" t="s">
        <v>966</v>
      </c>
      <c r="D34" t="s">
        <v>1019</v>
      </c>
      <c r="E34" t="s">
        <v>1020</v>
      </c>
      <c r="F34" s="12">
        <v>55</v>
      </c>
      <c r="G34" t="s">
        <v>2492</v>
      </c>
    </row>
    <row r="35" spans="1:7">
      <c r="A35" s="6" t="s">
        <v>4325</v>
      </c>
      <c r="B35" t="s">
        <v>965</v>
      </c>
      <c r="C35" t="s">
        <v>966</v>
      </c>
      <c r="D35" t="s">
        <v>1021</v>
      </c>
      <c r="E35" t="s">
        <v>1022</v>
      </c>
      <c r="F35" s="12">
        <v>49</v>
      </c>
      <c r="G35" t="s">
        <v>2493</v>
      </c>
    </row>
    <row r="36" spans="1:7" s="13" customFormat="1">
      <c r="A36" s="19" t="s">
        <v>4308</v>
      </c>
      <c r="B36" s="13" t="s">
        <v>965</v>
      </c>
      <c r="C36" s="13" t="s">
        <v>966</v>
      </c>
      <c r="D36" s="13" t="s">
        <v>1023</v>
      </c>
      <c r="E36" s="13" t="s">
        <v>1022</v>
      </c>
      <c r="F36" s="38">
        <v>43</v>
      </c>
      <c r="G36" t="s">
        <v>2494</v>
      </c>
    </row>
    <row r="37" spans="1:7">
      <c r="A37" s="6" t="s">
        <v>4438</v>
      </c>
      <c r="B37" t="s">
        <v>965</v>
      </c>
      <c r="C37" t="s">
        <v>966</v>
      </c>
      <c r="D37" t="s">
        <v>1024</v>
      </c>
      <c r="E37" t="s">
        <v>1005</v>
      </c>
      <c r="F37" s="12">
        <v>47</v>
      </c>
      <c r="G37" t="s">
        <v>2495</v>
      </c>
    </row>
    <row r="38" spans="1:7">
      <c r="A38" s="6" t="s">
        <v>4439</v>
      </c>
      <c r="B38" t="s">
        <v>965</v>
      </c>
      <c r="C38" t="s">
        <v>966</v>
      </c>
      <c r="D38" t="s">
        <v>1025</v>
      </c>
      <c r="E38" t="s">
        <v>1026</v>
      </c>
      <c r="F38" s="12">
        <v>34</v>
      </c>
      <c r="G38" t="s">
        <v>2496</v>
      </c>
    </row>
    <row r="39" spans="1:7">
      <c r="A39" s="6" t="s">
        <v>4440</v>
      </c>
      <c r="B39" t="s">
        <v>965</v>
      </c>
      <c r="C39" t="s">
        <v>966</v>
      </c>
      <c r="D39" t="s">
        <v>1027</v>
      </c>
      <c r="E39" t="s">
        <v>1028</v>
      </c>
      <c r="F39" s="12">
        <v>26</v>
      </c>
      <c r="G39" t="s">
        <v>2497</v>
      </c>
    </row>
    <row r="40" spans="1:7">
      <c r="A40" s="6" t="s">
        <v>4441</v>
      </c>
      <c r="B40" t="s">
        <v>965</v>
      </c>
      <c r="C40" t="s">
        <v>966</v>
      </c>
      <c r="D40" t="s">
        <v>1029</v>
      </c>
      <c r="E40" t="s">
        <v>1009</v>
      </c>
      <c r="F40" s="12">
        <v>38</v>
      </c>
      <c r="G40" t="s">
        <v>2488</v>
      </c>
    </row>
    <row r="41" spans="1:7">
      <c r="A41" s="6" t="s">
        <v>4443</v>
      </c>
      <c r="B41" t="s">
        <v>965</v>
      </c>
      <c r="C41" t="s">
        <v>966</v>
      </c>
      <c r="D41" t="s">
        <v>1030</v>
      </c>
      <c r="E41" t="s">
        <v>1031</v>
      </c>
      <c r="F41" s="12">
        <v>20</v>
      </c>
      <c r="G41" t="s">
        <v>2481</v>
      </c>
    </row>
    <row r="42" spans="1:7">
      <c r="A42" s="6" t="s">
        <v>4373</v>
      </c>
      <c r="B42" t="s">
        <v>965</v>
      </c>
      <c r="C42" t="s">
        <v>966</v>
      </c>
      <c r="D42" t="s">
        <v>1032</v>
      </c>
      <c r="E42" t="s">
        <v>1009</v>
      </c>
      <c r="F42" s="12">
        <v>36</v>
      </c>
      <c r="G42" t="s">
        <v>2473</v>
      </c>
    </row>
    <row r="43" spans="1:7">
      <c r="A43" s="6" t="s">
        <v>4332</v>
      </c>
      <c r="B43" t="s">
        <v>965</v>
      </c>
      <c r="C43" t="s">
        <v>966</v>
      </c>
      <c r="D43" t="s">
        <v>1033</v>
      </c>
      <c r="E43" t="s">
        <v>1020</v>
      </c>
      <c r="F43" s="12">
        <v>57</v>
      </c>
      <c r="G43" t="s">
        <v>2498</v>
      </c>
    </row>
    <row r="44" spans="1:7">
      <c r="A44" s="6" t="s">
        <v>4346</v>
      </c>
      <c r="B44" t="s">
        <v>965</v>
      </c>
      <c r="C44" t="s">
        <v>966</v>
      </c>
      <c r="D44" t="s">
        <v>1034</v>
      </c>
      <c r="E44" t="s">
        <v>1009</v>
      </c>
      <c r="F44" s="12">
        <v>36</v>
      </c>
      <c r="G44" t="s">
        <v>2473</v>
      </c>
    </row>
    <row r="45" spans="1:7">
      <c r="A45" s="6" t="s">
        <v>4256</v>
      </c>
      <c r="B45" t="s">
        <v>965</v>
      </c>
      <c r="C45" t="s">
        <v>966</v>
      </c>
      <c r="D45" t="s">
        <v>1035</v>
      </c>
      <c r="E45" t="s">
        <v>1017</v>
      </c>
      <c r="F45" s="12">
        <v>52</v>
      </c>
      <c r="G45" t="s">
        <v>2499</v>
      </c>
    </row>
    <row r="46" spans="1:7">
      <c r="A46" s="6" t="s">
        <v>4354</v>
      </c>
      <c r="B46" t="s">
        <v>965</v>
      </c>
      <c r="C46" t="s">
        <v>966</v>
      </c>
      <c r="D46" t="s">
        <v>1036</v>
      </c>
      <c r="E46" t="s">
        <v>970</v>
      </c>
      <c r="F46" s="12">
        <v>45</v>
      </c>
      <c r="G46" t="s">
        <v>2470</v>
      </c>
    </row>
    <row r="47" spans="1:7">
      <c r="A47" s="6" t="s">
        <v>4445</v>
      </c>
      <c r="B47" t="s">
        <v>965</v>
      </c>
      <c r="C47" t="s">
        <v>966</v>
      </c>
      <c r="D47" t="s">
        <v>1037</v>
      </c>
      <c r="E47" t="s">
        <v>1017</v>
      </c>
      <c r="F47" s="12">
        <v>50</v>
      </c>
      <c r="G47" t="s">
        <v>2490</v>
      </c>
    </row>
    <row r="48" spans="1:7">
      <c r="A48" s="6" t="s">
        <v>4412</v>
      </c>
      <c r="B48" t="s">
        <v>965</v>
      </c>
      <c r="C48" t="s">
        <v>966</v>
      </c>
      <c r="D48" t="s">
        <v>1038</v>
      </c>
      <c r="E48" t="s">
        <v>970</v>
      </c>
      <c r="F48" s="12">
        <v>19</v>
      </c>
      <c r="G48" t="s">
        <v>2483</v>
      </c>
    </row>
    <row r="49" spans="1:7">
      <c r="A49" s="6" t="s">
        <v>4272</v>
      </c>
      <c r="B49" t="s">
        <v>965</v>
      </c>
      <c r="C49" t="s">
        <v>966</v>
      </c>
      <c r="D49" t="s">
        <v>1039</v>
      </c>
      <c r="E49" t="s">
        <v>1017</v>
      </c>
      <c r="F49" s="12">
        <v>45</v>
      </c>
      <c r="G49" t="s">
        <v>2470</v>
      </c>
    </row>
    <row r="50" spans="1:7">
      <c r="A50" s="6" t="s">
        <v>4446</v>
      </c>
      <c r="B50" t="s">
        <v>965</v>
      </c>
      <c r="C50" t="s">
        <v>966</v>
      </c>
      <c r="D50" t="s">
        <v>1040</v>
      </c>
      <c r="E50" t="s">
        <v>1005</v>
      </c>
      <c r="F50" s="12">
        <v>22</v>
      </c>
      <c r="G50" t="s">
        <v>2472</v>
      </c>
    </row>
    <row r="51" spans="1:7">
      <c r="A51" s="6" t="s">
        <v>4448</v>
      </c>
      <c r="B51" t="s">
        <v>965</v>
      </c>
      <c r="C51" t="s">
        <v>966</v>
      </c>
      <c r="D51" t="s">
        <v>1041</v>
      </c>
      <c r="E51" t="s">
        <v>986</v>
      </c>
      <c r="F51" s="12">
        <v>26</v>
      </c>
      <c r="G51" t="s">
        <v>2497</v>
      </c>
    </row>
    <row r="52" spans="1:7">
      <c r="A52" s="6" t="s">
        <v>4449</v>
      </c>
      <c r="B52" t="s">
        <v>965</v>
      </c>
      <c r="C52" t="s">
        <v>966</v>
      </c>
      <c r="D52" t="s">
        <v>1042</v>
      </c>
      <c r="E52" t="s">
        <v>1043</v>
      </c>
      <c r="F52" s="12">
        <v>33</v>
      </c>
      <c r="G52" t="s">
        <v>2500</v>
      </c>
    </row>
    <row r="53" spans="1:7">
      <c r="A53" s="6" t="s">
        <v>4353</v>
      </c>
      <c r="B53" t="s">
        <v>965</v>
      </c>
      <c r="C53" t="s">
        <v>966</v>
      </c>
      <c r="D53" t="s">
        <v>1044</v>
      </c>
      <c r="E53" t="s">
        <v>1014</v>
      </c>
      <c r="F53" s="12">
        <v>43</v>
      </c>
      <c r="G53" t="s">
        <v>2494</v>
      </c>
    </row>
    <row r="54" spans="1:7">
      <c r="A54" s="6" t="s">
        <v>4375</v>
      </c>
      <c r="B54" t="s">
        <v>965</v>
      </c>
      <c r="C54" t="s">
        <v>966</v>
      </c>
      <c r="D54" t="s">
        <v>1045</v>
      </c>
      <c r="E54" t="s">
        <v>1031</v>
      </c>
      <c r="F54" s="12">
        <v>44</v>
      </c>
      <c r="G54" t="s">
        <v>2475</v>
      </c>
    </row>
    <row r="55" spans="1:7">
      <c r="A55" s="6" t="s">
        <v>4451</v>
      </c>
      <c r="B55" t="s">
        <v>965</v>
      </c>
      <c r="C55" t="s">
        <v>966</v>
      </c>
      <c r="D55" t="s">
        <v>1046</v>
      </c>
      <c r="E55" t="s">
        <v>1009</v>
      </c>
      <c r="F55" s="12">
        <v>35</v>
      </c>
      <c r="G55" t="s">
        <v>2491</v>
      </c>
    </row>
    <row r="56" spans="1:7">
      <c r="A56" s="6" t="s">
        <v>4288</v>
      </c>
      <c r="B56" t="s">
        <v>965</v>
      </c>
      <c r="C56" t="s">
        <v>966</v>
      </c>
      <c r="D56" t="s">
        <v>1047</v>
      </c>
      <c r="E56" t="s">
        <v>1014</v>
      </c>
      <c r="F56" s="12">
        <v>38</v>
      </c>
      <c r="G56" t="s">
        <v>2488</v>
      </c>
    </row>
    <row r="57" spans="1:7">
      <c r="A57" s="6" t="s">
        <v>4355</v>
      </c>
      <c r="B57" t="s">
        <v>965</v>
      </c>
      <c r="C57" t="s">
        <v>966</v>
      </c>
      <c r="D57" t="s">
        <v>1048</v>
      </c>
      <c r="E57" t="s">
        <v>1017</v>
      </c>
      <c r="F57" s="12">
        <v>48</v>
      </c>
      <c r="G57" t="s">
        <v>2478</v>
      </c>
    </row>
    <row r="58" spans="1:7">
      <c r="A58" s="6" t="s">
        <v>4347</v>
      </c>
      <c r="B58" t="s">
        <v>965</v>
      </c>
      <c r="C58" t="s">
        <v>966</v>
      </c>
      <c r="D58" t="s">
        <v>1049</v>
      </c>
      <c r="E58" t="s">
        <v>1014</v>
      </c>
      <c r="F58" s="12">
        <v>55</v>
      </c>
      <c r="G58" t="s">
        <v>2492</v>
      </c>
    </row>
    <row r="59" spans="1:7">
      <c r="A59" s="6" t="s">
        <v>4263</v>
      </c>
      <c r="B59" t="s">
        <v>965</v>
      </c>
      <c r="C59" t="s">
        <v>966</v>
      </c>
      <c r="D59" t="s">
        <v>1050</v>
      </c>
      <c r="E59" t="s">
        <v>1005</v>
      </c>
      <c r="F59" s="12">
        <v>54</v>
      </c>
      <c r="G59" t="s">
        <v>2474</v>
      </c>
    </row>
    <row r="60" spans="1:7">
      <c r="A60" s="6" t="s">
        <v>4452</v>
      </c>
      <c r="B60" t="s">
        <v>965</v>
      </c>
      <c r="C60" t="s">
        <v>966</v>
      </c>
      <c r="D60" t="s">
        <v>1051</v>
      </c>
      <c r="E60" t="s">
        <v>1052</v>
      </c>
      <c r="F60" t="s">
        <v>2436</v>
      </c>
      <c r="G60" t="e">
        <v>#VALUE!</v>
      </c>
    </row>
    <row r="61" spans="1:7">
      <c r="A61" s="6" t="s">
        <v>4453</v>
      </c>
      <c r="B61" t="s">
        <v>965</v>
      </c>
      <c r="C61" t="s">
        <v>966</v>
      </c>
      <c r="D61" t="s">
        <v>1053</v>
      </c>
      <c r="E61" t="s">
        <v>1043</v>
      </c>
      <c r="F61" s="12">
        <v>48</v>
      </c>
      <c r="G61" t="s">
        <v>2478</v>
      </c>
    </row>
    <row r="62" spans="1:7">
      <c r="A62" s="6" t="s">
        <v>4327</v>
      </c>
      <c r="B62" t="s">
        <v>965</v>
      </c>
      <c r="C62" t="s">
        <v>966</v>
      </c>
      <c r="D62" t="s">
        <v>1054</v>
      </c>
      <c r="E62" t="s">
        <v>1022</v>
      </c>
      <c r="F62" s="12">
        <v>79</v>
      </c>
      <c r="G62" t="s">
        <v>2501</v>
      </c>
    </row>
    <row r="63" spans="1:7">
      <c r="A63" s="6" t="s">
        <v>4454</v>
      </c>
      <c r="B63" t="s">
        <v>965</v>
      </c>
      <c r="C63" t="s">
        <v>966</v>
      </c>
      <c r="D63" t="s">
        <v>1055</v>
      </c>
      <c r="E63" t="s">
        <v>1009</v>
      </c>
      <c r="F63" s="12">
        <v>76</v>
      </c>
      <c r="G63" t="s">
        <v>2502</v>
      </c>
    </row>
    <row r="64" spans="1:7">
      <c r="A64" s="6" t="s">
        <v>4454</v>
      </c>
      <c r="B64" t="s">
        <v>965</v>
      </c>
      <c r="C64" t="s">
        <v>966</v>
      </c>
      <c r="D64" t="s">
        <v>1056</v>
      </c>
      <c r="E64" t="s">
        <v>1014</v>
      </c>
      <c r="F64" s="12">
        <v>26</v>
      </c>
      <c r="G64" t="s">
        <v>2497</v>
      </c>
    </row>
    <row r="65" spans="1:7">
      <c r="A65" s="6" t="s">
        <v>4455</v>
      </c>
      <c r="B65" t="s">
        <v>965</v>
      </c>
      <c r="C65" t="s">
        <v>966</v>
      </c>
      <c r="D65" t="s">
        <v>1057</v>
      </c>
      <c r="E65" t="s">
        <v>1012</v>
      </c>
      <c r="F65" s="12">
        <v>29</v>
      </c>
      <c r="G65" t="s">
        <v>2503</v>
      </c>
    </row>
    <row r="66" spans="1:7">
      <c r="A66" s="6" t="s">
        <v>4232</v>
      </c>
      <c r="B66" t="s">
        <v>965</v>
      </c>
      <c r="C66" t="s">
        <v>966</v>
      </c>
      <c r="D66" t="s">
        <v>1058</v>
      </c>
      <c r="E66" t="s">
        <v>1017</v>
      </c>
      <c r="F66" s="12">
        <v>22</v>
      </c>
      <c r="G66" t="s">
        <v>2472</v>
      </c>
    </row>
    <row r="67" spans="1:7">
      <c r="A67" s="6" t="s">
        <v>4285</v>
      </c>
      <c r="B67" t="s">
        <v>965</v>
      </c>
      <c r="C67" t="s">
        <v>966</v>
      </c>
      <c r="D67" t="s">
        <v>1059</v>
      </c>
      <c r="E67" t="s">
        <v>1020</v>
      </c>
      <c r="F67" s="12">
        <v>26</v>
      </c>
      <c r="G67" t="s">
        <v>2497</v>
      </c>
    </row>
    <row r="68" spans="1:7">
      <c r="A68" s="6" t="s">
        <v>4457</v>
      </c>
      <c r="B68" t="s">
        <v>965</v>
      </c>
      <c r="C68" t="s">
        <v>966</v>
      </c>
      <c r="D68" t="s">
        <v>1060</v>
      </c>
      <c r="E68" t="s">
        <v>1031</v>
      </c>
      <c r="F68" s="12">
        <v>46</v>
      </c>
      <c r="G68" t="s">
        <v>2504</v>
      </c>
    </row>
    <row r="69" spans="1:7">
      <c r="A69" s="6" t="s">
        <v>4261</v>
      </c>
      <c r="B69" t="s">
        <v>965</v>
      </c>
      <c r="C69" t="s">
        <v>966</v>
      </c>
      <c r="D69" t="s">
        <v>1061</v>
      </c>
      <c r="E69" t="s">
        <v>1012</v>
      </c>
      <c r="F69" s="12">
        <v>62</v>
      </c>
      <c r="G69" t="s">
        <v>2505</v>
      </c>
    </row>
    <row r="70" spans="1:7">
      <c r="A70" s="6" t="s">
        <v>4458</v>
      </c>
      <c r="B70" t="s">
        <v>965</v>
      </c>
      <c r="C70" t="s">
        <v>966</v>
      </c>
      <c r="D70" t="s">
        <v>1062</v>
      </c>
      <c r="E70" t="s">
        <v>970</v>
      </c>
      <c r="F70" s="12">
        <v>66</v>
      </c>
      <c r="G70" t="s">
        <v>2479</v>
      </c>
    </row>
    <row r="71" spans="1:7">
      <c r="A71" s="6"/>
      <c r="F71" t="e">
        <v>#VALUE!</v>
      </c>
      <c r="G71" t="e">
        <v>#VALUE!</v>
      </c>
    </row>
    <row r="72" spans="1:7">
      <c r="A72" s="6" t="s">
        <v>4459</v>
      </c>
      <c r="B72" t="s">
        <v>965</v>
      </c>
      <c r="C72" t="s">
        <v>966</v>
      </c>
      <c r="D72" t="s">
        <v>1063</v>
      </c>
      <c r="E72" t="s">
        <v>1009</v>
      </c>
      <c r="F72" s="12">
        <v>24</v>
      </c>
      <c r="G72" t="s">
        <v>2506</v>
      </c>
    </row>
    <row r="73" spans="1:7">
      <c r="A73" s="6" t="s">
        <v>4461</v>
      </c>
      <c r="B73" t="s">
        <v>965</v>
      </c>
      <c r="C73" t="s">
        <v>966</v>
      </c>
      <c r="D73" t="s">
        <v>1064</v>
      </c>
      <c r="E73" t="s">
        <v>1007</v>
      </c>
      <c r="F73" s="12">
        <v>42</v>
      </c>
      <c r="G73" t="s">
        <v>2486</v>
      </c>
    </row>
    <row r="74" spans="1:7">
      <c r="A74" s="6" t="s">
        <v>4463</v>
      </c>
      <c r="B74" t="s">
        <v>965</v>
      </c>
      <c r="C74" t="s">
        <v>966</v>
      </c>
      <c r="D74" t="s">
        <v>1065</v>
      </c>
      <c r="E74" t="s">
        <v>1043</v>
      </c>
      <c r="F74" s="12">
        <v>44</v>
      </c>
      <c r="G74" t="s">
        <v>2475</v>
      </c>
    </row>
    <row r="75" spans="1:7">
      <c r="A75" s="6" t="s">
        <v>4465</v>
      </c>
      <c r="B75" t="s">
        <v>965</v>
      </c>
      <c r="C75" t="s">
        <v>966</v>
      </c>
      <c r="D75" t="s">
        <v>1066</v>
      </c>
      <c r="E75" t="s">
        <v>1009</v>
      </c>
      <c r="F75" s="12">
        <v>37</v>
      </c>
      <c r="G75" t="s">
        <v>2507</v>
      </c>
    </row>
    <row r="76" spans="1:7">
      <c r="A76" s="6" t="s">
        <v>4466</v>
      </c>
      <c r="B76" t="s">
        <v>965</v>
      </c>
      <c r="C76" t="s">
        <v>966</v>
      </c>
      <c r="D76" t="s">
        <v>1067</v>
      </c>
      <c r="E76" t="s">
        <v>1014</v>
      </c>
      <c r="F76" s="12">
        <v>46</v>
      </c>
      <c r="G76" t="s">
        <v>2504</v>
      </c>
    </row>
    <row r="77" spans="1:7">
      <c r="A77" s="6" t="s">
        <v>4467</v>
      </c>
      <c r="B77" t="s">
        <v>965</v>
      </c>
      <c r="C77" t="s">
        <v>966</v>
      </c>
      <c r="D77" t="s">
        <v>1068</v>
      </c>
      <c r="E77" t="s">
        <v>1017</v>
      </c>
      <c r="F77" s="12">
        <v>52</v>
      </c>
      <c r="G77" t="s">
        <v>2499</v>
      </c>
    </row>
    <row r="78" spans="1:7">
      <c r="A78" s="6" t="s">
        <v>4277</v>
      </c>
      <c r="B78" t="s">
        <v>965</v>
      </c>
      <c r="C78" t="s">
        <v>966</v>
      </c>
      <c r="D78" t="s">
        <v>1069</v>
      </c>
      <c r="E78" t="s">
        <v>1009</v>
      </c>
      <c r="F78" s="12">
        <v>30</v>
      </c>
      <c r="G78" t="s">
        <v>2485</v>
      </c>
    </row>
    <row r="79" spans="1:7">
      <c r="A79" s="6" t="s">
        <v>4468</v>
      </c>
      <c r="B79" t="s">
        <v>965</v>
      </c>
      <c r="C79" t="s">
        <v>966</v>
      </c>
      <c r="D79" t="s">
        <v>1070</v>
      </c>
      <c r="E79" t="s">
        <v>1017</v>
      </c>
      <c r="F79" s="12">
        <v>51</v>
      </c>
      <c r="G79" t="s">
        <v>2508</v>
      </c>
    </row>
    <row r="80" spans="1:7">
      <c r="A80" s="6" t="s">
        <v>4469</v>
      </c>
      <c r="B80" t="s">
        <v>965</v>
      </c>
      <c r="C80" t="s">
        <v>966</v>
      </c>
      <c r="D80" t="s">
        <v>1071</v>
      </c>
      <c r="E80" t="s">
        <v>1009</v>
      </c>
      <c r="F80" s="12">
        <v>35</v>
      </c>
      <c r="G80" t="s">
        <v>2491</v>
      </c>
    </row>
    <row r="81" spans="1:7">
      <c r="A81" s="6" t="s">
        <v>4470</v>
      </c>
      <c r="B81" t="s">
        <v>965</v>
      </c>
      <c r="C81" t="s">
        <v>966</v>
      </c>
      <c r="D81" t="s">
        <v>1072</v>
      </c>
      <c r="E81" t="s">
        <v>1043</v>
      </c>
      <c r="F81" s="12">
        <v>47</v>
      </c>
      <c r="G81" t="s">
        <v>2495</v>
      </c>
    </row>
    <row r="82" spans="1:7">
      <c r="A82" s="6" t="s">
        <v>4471</v>
      </c>
      <c r="B82" t="s">
        <v>965</v>
      </c>
      <c r="C82" t="s">
        <v>966</v>
      </c>
      <c r="D82" t="s">
        <v>1073</v>
      </c>
      <c r="E82" t="s">
        <v>1026</v>
      </c>
      <c r="F82" s="12">
        <v>50</v>
      </c>
      <c r="G82" t="s">
        <v>2490</v>
      </c>
    </row>
    <row r="83" spans="1:7">
      <c r="A83" s="6" t="s">
        <v>4472</v>
      </c>
      <c r="B83" t="s">
        <v>965</v>
      </c>
      <c r="C83" t="s">
        <v>966</v>
      </c>
      <c r="D83" t="s">
        <v>1074</v>
      </c>
      <c r="E83" t="s">
        <v>1009</v>
      </c>
      <c r="F83" s="12">
        <v>27</v>
      </c>
      <c r="G83" t="s">
        <v>2509</v>
      </c>
    </row>
    <row r="84" spans="1:7">
      <c r="A84" s="6" t="s">
        <v>4473</v>
      </c>
      <c r="B84" t="s">
        <v>965</v>
      </c>
      <c r="C84" t="s">
        <v>966</v>
      </c>
      <c r="D84" t="s">
        <v>1075</v>
      </c>
      <c r="E84" t="s">
        <v>1028</v>
      </c>
      <c r="F84" s="12">
        <v>62</v>
      </c>
      <c r="G84" t="s">
        <v>2505</v>
      </c>
    </row>
    <row r="85" spans="1:7">
      <c r="A85" s="6" t="s">
        <v>4474</v>
      </c>
      <c r="B85" t="s">
        <v>965</v>
      </c>
      <c r="C85" t="s">
        <v>966</v>
      </c>
      <c r="D85" t="s">
        <v>1076</v>
      </c>
      <c r="E85" t="s">
        <v>1014</v>
      </c>
      <c r="F85" s="12">
        <v>43</v>
      </c>
      <c r="G85" t="s">
        <v>2494</v>
      </c>
    </row>
    <row r="86" spans="1:7">
      <c r="A86" s="6" t="s">
        <v>4273</v>
      </c>
      <c r="B86" t="s">
        <v>965</v>
      </c>
      <c r="C86" t="s">
        <v>966</v>
      </c>
      <c r="D86" t="s">
        <v>1077</v>
      </c>
      <c r="E86" t="s">
        <v>1017</v>
      </c>
      <c r="F86" s="12">
        <v>42</v>
      </c>
      <c r="G86" t="s">
        <v>2486</v>
      </c>
    </row>
    <row r="87" spans="1:7">
      <c r="A87" s="6" t="s">
        <v>4351</v>
      </c>
      <c r="B87" t="s">
        <v>965</v>
      </c>
      <c r="C87" t="s">
        <v>966</v>
      </c>
      <c r="D87" t="s">
        <v>1078</v>
      </c>
      <c r="E87" t="s">
        <v>1017</v>
      </c>
      <c r="F87" s="12">
        <v>20</v>
      </c>
      <c r="G87" t="s">
        <v>2481</v>
      </c>
    </row>
    <row r="88" spans="1:7">
      <c r="A88" s="6" t="s">
        <v>4475</v>
      </c>
      <c r="B88" t="s">
        <v>965</v>
      </c>
      <c r="C88" t="s">
        <v>966</v>
      </c>
      <c r="D88" t="s">
        <v>1079</v>
      </c>
      <c r="E88" t="s">
        <v>1026</v>
      </c>
      <c r="F88" s="12">
        <v>30</v>
      </c>
      <c r="G88" t="s">
        <v>2485</v>
      </c>
    </row>
    <row r="89" spans="1:7">
      <c r="A89" s="6" t="s">
        <v>4475</v>
      </c>
      <c r="B89" t="s">
        <v>965</v>
      </c>
      <c r="C89" t="s">
        <v>966</v>
      </c>
      <c r="D89" t="s">
        <v>1080</v>
      </c>
      <c r="E89" t="s">
        <v>1017</v>
      </c>
      <c r="F89" s="12">
        <v>43</v>
      </c>
      <c r="G89" t="s">
        <v>2494</v>
      </c>
    </row>
    <row r="90" spans="1:7">
      <c r="A90" s="6" t="s">
        <v>4475</v>
      </c>
      <c r="B90" t="s">
        <v>965</v>
      </c>
      <c r="C90" t="s">
        <v>966</v>
      </c>
      <c r="D90" t="s">
        <v>1081</v>
      </c>
      <c r="E90" t="s">
        <v>1014</v>
      </c>
      <c r="F90" s="12">
        <v>35</v>
      </c>
      <c r="G90" t="s">
        <v>2491</v>
      </c>
    </row>
    <row r="91" spans="1:7" s="13" customFormat="1">
      <c r="A91" s="19" t="s">
        <v>4248</v>
      </c>
      <c r="B91" s="13" t="s">
        <v>965</v>
      </c>
      <c r="C91" s="13" t="s">
        <v>966</v>
      </c>
      <c r="D91" s="13" t="s">
        <v>1082</v>
      </c>
      <c r="E91" s="13" t="s">
        <v>1022</v>
      </c>
      <c r="F91" s="38">
        <v>40</v>
      </c>
      <c r="G91" t="s">
        <v>2489</v>
      </c>
    </row>
    <row r="92" spans="1:7">
      <c r="A92" s="6" t="s">
        <v>4476</v>
      </c>
      <c r="B92" t="s">
        <v>965</v>
      </c>
      <c r="C92" t="s">
        <v>966</v>
      </c>
      <c r="D92" t="s">
        <v>1083</v>
      </c>
      <c r="E92" t="s">
        <v>1022</v>
      </c>
      <c r="F92" s="12">
        <v>30</v>
      </c>
      <c r="G92" t="s">
        <v>2485</v>
      </c>
    </row>
    <row r="93" spans="1:7">
      <c r="A93" s="6" t="s">
        <v>4371</v>
      </c>
      <c r="B93" t="s">
        <v>965</v>
      </c>
      <c r="C93" t="s">
        <v>966</v>
      </c>
      <c r="D93" t="s">
        <v>1084</v>
      </c>
      <c r="E93" t="s">
        <v>1012</v>
      </c>
      <c r="F93" s="12">
        <v>32</v>
      </c>
      <c r="G93" t="s">
        <v>2476</v>
      </c>
    </row>
    <row r="94" spans="1:7">
      <c r="A94" s="6" t="s">
        <v>4477</v>
      </c>
      <c r="B94" t="s">
        <v>965</v>
      </c>
      <c r="C94" t="s">
        <v>966</v>
      </c>
      <c r="D94" t="s">
        <v>1085</v>
      </c>
      <c r="E94" t="s">
        <v>1026</v>
      </c>
      <c r="F94" s="12">
        <v>40</v>
      </c>
      <c r="G94" t="s">
        <v>2489</v>
      </c>
    </row>
    <row r="95" spans="1:7">
      <c r="A95" s="6" t="s">
        <v>4478</v>
      </c>
      <c r="B95" t="s">
        <v>965</v>
      </c>
      <c r="C95" t="s">
        <v>966</v>
      </c>
      <c r="D95" t="s">
        <v>1086</v>
      </c>
      <c r="E95" t="s">
        <v>970</v>
      </c>
      <c r="F95" s="12">
        <v>44</v>
      </c>
      <c r="G95" t="s">
        <v>2475</v>
      </c>
    </row>
    <row r="96" spans="1:7">
      <c r="A96" s="6" t="s">
        <v>4479</v>
      </c>
      <c r="B96" t="s">
        <v>965</v>
      </c>
      <c r="C96" t="s">
        <v>966</v>
      </c>
      <c r="D96" t="s">
        <v>1087</v>
      </c>
      <c r="E96" t="s">
        <v>1009</v>
      </c>
      <c r="F96" s="12">
        <v>34</v>
      </c>
      <c r="G96" t="s">
        <v>2496</v>
      </c>
    </row>
    <row r="97" spans="1:7">
      <c r="A97" s="6" t="s">
        <v>4480</v>
      </c>
      <c r="B97" t="s">
        <v>965</v>
      </c>
      <c r="C97" t="s">
        <v>966</v>
      </c>
      <c r="D97" t="s">
        <v>1088</v>
      </c>
      <c r="E97" t="s">
        <v>1031</v>
      </c>
      <c r="F97" s="12">
        <v>18</v>
      </c>
      <c r="G97" t="s">
        <v>2477</v>
      </c>
    </row>
    <row r="98" spans="1:7">
      <c r="A98" s="6" t="s">
        <v>4409</v>
      </c>
      <c r="B98" t="s">
        <v>965</v>
      </c>
      <c r="C98" t="s">
        <v>966</v>
      </c>
      <c r="D98" t="s">
        <v>1089</v>
      </c>
      <c r="E98" t="s">
        <v>1009</v>
      </c>
      <c r="F98" s="12">
        <v>37</v>
      </c>
      <c r="G98" t="s">
        <v>2507</v>
      </c>
    </row>
    <row r="99" spans="1:7">
      <c r="A99" s="6" t="s">
        <v>4481</v>
      </c>
      <c r="B99" t="s">
        <v>965</v>
      </c>
      <c r="C99" t="s">
        <v>966</v>
      </c>
      <c r="D99" t="s">
        <v>1090</v>
      </c>
      <c r="E99" t="s">
        <v>1017</v>
      </c>
      <c r="F99" s="12">
        <v>50</v>
      </c>
      <c r="G99" t="s">
        <v>2490</v>
      </c>
    </row>
    <row r="100" spans="1:7">
      <c r="A100" s="6" t="s">
        <v>4482</v>
      </c>
      <c r="B100" t="s">
        <v>965</v>
      </c>
      <c r="C100" t="s">
        <v>966</v>
      </c>
      <c r="D100" t="s">
        <v>1091</v>
      </c>
      <c r="E100" t="s">
        <v>1012</v>
      </c>
      <c r="F100" s="12">
        <v>28</v>
      </c>
      <c r="G100" t="s">
        <v>2487</v>
      </c>
    </row>
    <row r="101" spans="1:7">
      <c r="A101" s="6" t="s">
        <v>4483</v>
      </c>
      <c r="B101" t="s">
        <v>965</v>
      </c>
      <c r="C101" t="s">
        <v>966</v>
      </c>
      <c r="D101" t="s">
        <v>1092</v>
      </c>
      <c r="E101" t="s">
        <v>1017</v>
      </c>
      <c r="F101" s="12">
        <v>20</v>
      </c>
      <c r="G101" t="s">
        <v>2481</v>
      </c>
    </row>
    <row r="102" spans="1:7">
      <c r="A102" s="6" t="s">
        <v>4246</v>
      </c>
      <c r="B102" t="s">
        <v>965</v>
      </c>
      <c r="C102" t="s">
        <v>966</v>
      </c>
      <c r="D102" t="s">
        <v>1093</v>
      </c>
      <c r="E102" t="s">
        <v>1012</v>
      </c>
      <c r="F102" s="12">
        <v>63</v>
      </c>
      <c r="G102" t="s">
        <v>2510</v>
      </c>
    </row>
    <row r="103" spans="1:7">
      <c r="A103" s="6" t="s">
        <v>4484</v>
      </c>
      <c r="B103" t="s">
        <v>965</v>
      </c>
      <c r="C103" t="s">
        <v>966</v>
      </c>
      <c r="D103" t="s">
        <v>1094</v>
      </c>
      <c r="E103" t="s">
        <v>1095</v>
      </c>
      <c r="F103" s="12">
        <v>45</v>
      </c>
      <c r="G103" t="s">
        <v>2470</v>
      </c>
    </row>
    <row r="104" spans="1:7">
      <c r="A104" s="6" t="s">
        <v>4485</v>
      </c>
      <c r="B104" t="s">
        <v>965</v>
      </c>
      <c r="C104" t="s">
        <v>966</v>
      </c>
      <c r="D104" t="s">
        <v>1096</v>
      </c>
      <c r="E104" t="s">
        <v>1014</v>
      </c>
      <c r="F104" s="12">
        <v>24</v>
      </c>
      <c r="G104" t="s">
        <v>2506</v>
      </c>
    </row>
    <row r="105" spans="1:7">
      <c r="A105" s="6" t="s">
        <v>4486</v>
      </c>
      <c r="B105" t="s">
        <v>965</v>
      </c>
      <c r="C105" t="s">
        <v>966</v>
      </c>
      <c r="D105" t="s">
        <v>1097</v>
      </c>
      <c r="E105" t="s">
        <v>970</v>
      </c>
      <c r="F105" s="12">
        <v>64</v>
      </c>
      <c r="G105" t="s">
        <v>2511</v>
      </c>
    </row>
    <row r="106" spans="1:7">
      <c r="A106" s="6" t="s">
        <v>4487</v>
      </c>
      <c r="B106" t="s">
        <v>965</v>
      </c>
      <c r="C106" t="s">
        <v>966</v>
      </c>
      <c r="D106" t="s">
        <v>1098</v>
      </c>
      <c r="E106" t="s">
        <v>1014</v>
      </c>
      <c r="F106" s="12">
        <v>38</v>
      </c>
      <c r="G106" t="s">
        <v>2488</v>
      </c>
    </row>
    <row r="107" spans="1:7">
      <c r="A107" s="6" t="s">
        <v>4416</v>
      </c>
      <c r="B107" t="s">
        <v>965</v>
      </c>
      <c r="C107" t="s">
        <v>966</v>
      </c>
      <c r="D107" t="s">
        <v>1099</v>
      </c>
      <c r="E107" t="s">
        <v>1031</v>
      </c>
      <c r="F107" s="12">
        <v>44</v>
      </c>
      <c r="G107" t="s">
        <v>2475</v>
      </c>
    </row>
    <row r="108" spans="1:7">
      <c r="A108" s="6" t="s">
        <v>4488</v>
      </c>
      <c r="B108" t="s">
        <v>965</v>
      </c>
      <c r="C108" t="s">
        <v>966</v>
      </c>
      <c r="D108" t="s">
        <v>1100</v>
      </c>
      <c r="E108" t="s">
        <v>1020</v>
      </c>
      <c r="F108" s="12">
        <v>56</v>
      </c>
      <c r="G108" t="s">
        <v>2512</v>
      </c>
    </row>
    <row r="109" spans="1:7">
      <c r="A109" s="6" t="s">
        <v>4489</v>
      </c>
      <c r="B109" t="s">
        <v>965</v>
      </c>
      <c r="C109" t="s">
        <v>966</v>
      </c>
      <c r="D109" t="s">
        <v>1101</v>
      </c>
      <c r="E109" t="s">
        <v>1009</v>
      </c>
      <c r="F109" s="12">
        <v>30</v>
      </c>
      <c r="G109" t="s">
        <v>2485</v>
      </c>
    </row>
    <row r="110" spans="1:7">
      <c r="A110" s="6" t="s">
        <v>4490</v>
      </c>
      <c r="B110" t="s">
        <v>965</v>
      </c>
      <c r="C110" t="s">
        <v>966</v>
      </c>
      <c r="D110" t="s">
        <v>1102</v>
      </c>
      <c r="E110" t="s">
        <v>1043</v>
      </c>
      <c r="F110" s="12">
        <v>33</v>
      </c>
      <c r="G110" t="s">
        <v>2500</v>
      </c>
    </row>
    <row r="111" spans="1:7">
      <c r="A111" s="6" t="s">
        <v>4491</v>
      </c>
      <c r="B111" t="s">
        <v>965</v>
      </c>
      <c r="C111" t="s">
        <v>966</v>
      </c>
      <c r="D111" t="s">
        <v>1103</v>
      </c>
      <c r="E111" t="s">
        <v>1017</v>
      </c>
      <c r="F111" s="12">
        <v>47</v>
      </c>
      <c r="G111" t="s">
        <v>2495</v>
      </c>
    </row>
    <row r="112" spans="1:7">
      <c r="A112" s="6" t="s">
        <v>4492</v>
      </c>
      <c r="B112" t="s">
        <v>965</v>
      </c>
      <c r="C112" t="s">
        <v>966</v>
      </c>
      <c r="D112" t="s">
        <v>1104</v>
      </c>
      <c r="E112" t="s">
        <v>1017</v>
      </c>
      <c r="F112" s="12">
        <v>20</v>
      </c>
      <c r="G112" t="s">
        <v>2481</v>
      </c>
    </row>
    <row r="113" spans="1:7">
      <c r="A113" s="6" t="s">
        <v>4493</v>
      </c>
      <c r="B113" t="s">
        <v>965</v>
      </c>
      <c r="C113" t="s">
        <v>966</v>
      </c>
      <c r="D113" t="s">
        <v>1105</v>
      </c>
      <c r="E113" t="s">
        <v>1031</v>
      </c>
      <c r="F113" s="12">
        <v>46</v>
      </c>
      <c r="G113" t="s">
        <v>2504</v>
      </c>
    </row>
    <row r="114" spans="1:7">
      <c r="A114" s="6" t="s">
        <v>4268</v>
      </c>
      <c r="B114" t="s">
        <v>965</v>
      </c>
      <c r="C114" t="s">
        <v>966</v>
      </c>
      <c r="D114" t="s">
        <v>1106</v>
      </c>
      <c r="E114" t="s">
        <v>1022</v>
      </c>
      <c r="F114" s="12">
        <v>45</v>
      </c>
      <c r="G114" t="s">
        <v>2470</v>
      </c>
    </row>
    <row r="115" spans="1:7">
      <c r="A115" s="6"/>
      <c r="F115" t="e">
        <v>#VALUE!</v>
      </c>
      <c r="G115" t="e">
        <v>#VALUE!</v>
      </c>
    </row>
    <row r="116" spans="1:7">
      <c r="A116" s="6" t="s">
        <v>204</v>
      </c>
      <c r="B116" t="s">
        <v>965</v>
      </c>
      <c r="C116" t="s">
        <v>966</v>
      </c>
      <c r="D116" t="s">
        <v>1107</v>
      </c>
      <c r="E116" t="s">
        <v>1009</v>
      </c>
      <c r="F116" s="12">
        <v>30</v>
      </c>
      <c r="G116" t="s">
        <v>2485</v>
      </c>
    </row>
    <row r="117" spans="1:7">
      <c r="A117" s="6" t="s">
        <v>1108</v>
      </c>
      <c r="B117" t="s">
        <v>965</v>
      </c>
      <c r="C117" t="s">
        <v>966</v>
      </c>
      <c r="D117" t="s">
        <v>1109</v>
      </c>
      <c r="E117" t="s">
        <v>1009</v>
      </c>
      <c r="F117" s="12">
        <v>20</v>
      </c>
      <c r="G117" t="s">
        <v>2481</v>
      </c>
    </row>
    <row r="118" spans="1:7">
      <c r="A118" s="6"/>
      <c r="F118" t="e">
        <v>#VALUE!</v>
      </c>
      <c r="G118" t="e">
        <v>#VALUE!</v>
      </c>
    </row>
    <row r="119" spans="1:7">
      <c r="A119" s="6" t="s">
        <v>205</v>
      </c>
      <c r="B119" t="s">
        <v>965</v>
      </c>
      <c r="C119" t="s">
        <v>966</v>
      </c>
      <c r="D119" t="s">
        <v>1110</v>
      </c>
      <c r="E119" t="s">
        <v>1009</v>
      </c>
      <c r="F119" s="12">
        <v>49</v>
      </c>
      <c r="G119" t="s">
        <v>2493</v>
      </c>
    </row>
    <row r="120" spans="1:7">
      <c r="A120" s="6" t="s">
        <v>1111</v>
      </c>
      <c r="B120" t="s">
        <v>965</v>
      </c>
      <c r="C120" t="s">
        <v>966</v>
      </c>
      <c r="D120" t="s">
        <v>1112</v>
      </c>
      <c r="E120" t="s">
        <v>1009</v>
      </c>
      <c r="F120" s="12">
        <v>19</v>
      </c>
      <c r="G120" t="s">
        <v>2483</v>
      </c>
    </row>
    <row r="121" spans="1:7">
      <c r="A121" s="6" t="s">
        <v>1113</v>
      </c>
      <c r="B121" t="s">
        <v>965</v>
      </c>
      <c r="C121" t="s">
        <v>966</v>
      </c>
      <c r="D121" t="s">
        <v>1114</v>
      </c>
      <c r="E121" t="s">
        <v>1009</v>
      </c>
      <c r="F121" s="12">
        <v>30</v>
      </c>
      <c r="G121" t="s">
        <v>2485</v>
      </c>
    </row>
    <row r="122" spans="1:7">
      <c r="A122" s="6"/>
      <c r="F122" t="e">
        <v>#VALUE!</v>
      </c>
      <c r="G122" t="e">
        <v>#VALUE!</v>
      </c>
    </row>
    <row r="123" spans="1:7">
      <c r="A123" s="6" t="s">
        <v>1115</v>
      </c>
      <c r="B123" t="s">
        <v>965</v>
      </c>
      <c r="C123" t="s">
        <v>966</v>
      </c>
      <c r="D123" t="s">
        <v>1116</v>
      </c>
      <c r="E123" t="s">
        <v>1117</v>
      </c>
      <c r="F123" s="12">
        <v>20</v>
      </c>
      <c r="G123" t="s">
        <v>2481</v>
      </c>
    </row>
    <row r="124" spans="1:7">
      <c r="A124" s="6"/>
      <c r="F124" t="e">
        <v>#VALUE!</v>
      </c>
      <c r="G124" t="e">
        <v>#VALUE!</v>
      </c>
    </row>
    <row r="125" spans="1:7">
      <c r="A125" s="6" t="s">
        <v>4848</v>
      </c>
      <c r="B125" t="s">
        <v>965</v>
      </c>
      <c r="C125" t="s">
        <v>966</v>
      </c>
      <c r="D125" t="s">
        <v>1118</v>
      </c>
      <c r="E125" t="s">
        <v>1095</v>
      </c>
      <c r="F125" s="12">
        <v>25</v>
      </c>
      <c r="G125" t="s">
        <v>2513</v>
      </c>
    </row>
    <row r="126" spans="1:7">
      <c r="A126" s="6" t="s">
        <v>4840</v>
      </c>
      <c r="B126" t="s">
        <v>965</v>
      </c>
      <c r="C126" t="s">
        <v>966</v>
      </c>
      <c r="D126" t="s">
        <v>1119</v>
      </c>
      <c r="E126" t="s">
        <v>1043</v>
      </c>
      <c r="F126" s="12">
        <v>36</v>
      </c>
      <c r="G126" t="s">
        <v>2473</v>
      </c>
    </row>
    <row r="127" spans="1:7">
      <c r="A127" s="6" t="s">
        <v>4849</v>
      </c>
      <c r="B127" t="s">
        <v>965</v>
      </c>
      <c r="C127" t="s">
        <v>966</v>
      </c>
      <c r="D127" t="s">
        <v>1120</v>
      </c>
      <c r="E127" t="s">
        <v>1095</v>
      </c>
      <c r="F127" s="12">
        <v>22</v>
      </c>
      <c r="G127" t="s">
        <v>2472</v>
      </c>
    </row>
    <row r="128" spans="1:7">
      <c r="A128" s="6" t="s">
        <v>4780</v>
      </c>
      <c r="B128" t="s">
        <v>965</v>
      </c>
      <c r="C128" t="s">
        <v>966</v>
      </c>
      <c r="D128" t="s">
        <v>1121</v>
      </c>
      <c r="E128" t="s">
        <v>968</v>
      </c>
      <c r="F128" s="12">
        <v>36</v>
      </c>
      <c r="G128" t="s">
        <v>2473</v>
      </c>
    </row>
    <row r="129" spans="1:7">
      <c r="A129" s="6" t="s">
        <v>4771</v>
      </c>
      <c r="B129" t="s">
        <v>965</v>
      </c>
      <c r="C129" t="s">
        <v>966</v>
      </c>
      <c r="D129" t="s">
        <v>1122</v>
      </c>
      <c r="E129" t="s">
        <v>1028</v>
      </c>
      <c r="F129" s="12">
        <v>65</v>
      </c>
      <c r="G129" t="s">
        <v>2514</v>
      </c>
    </row>
    <row r="130" spans="1:7">
      <c r="A130" s="6" t="s">
        <v>4850</v>
      </c>
      <c r="B130" t="s">
        <v>965</v>
      </c>
      <c r="C130" t="s">
        <v>966</v>
      </c>
      <c r="D130" t="s">
        <v>1123</v>
      </c>
      <c r="E130" t="s">
        <v>1028</v>
      </c>
      <c r="F130" s="12">
        <v>29</v>
      </c>
      <c r="G130" t="s">
        <v>2503</v>
      </c>
    </row>
    <row r="131" spans="1:7">
      <c r="A131" s="6" t="s">
        <v>4748</v>
      </c>
      <c r="B131" t="s">
        <v>965</v>
      </c>
      <c r="C131" t="s">
        <v>966</v>
      </c>
      <c r="D131" t="s">
        <v>1124</v>
      </c>
      <c r="E131" t="s">
        <v>1095</v>
      </c>
      <c r="F131" s="12">
        <v>50</v>
      </c>
      <c r="G131" t="s">
        <v>2490</v>
      </c>
    </row>
    <row r="132" spans="1:7">
      <c r="A132" s="6" t="s">
        <v>4726</v>
      </c>
      <c r="B132" t="s">
        <v>965</v>
      </c>
      <c r="C132" t="s">
        <v>966</v>
      </c>
      <c r="D132" t="s">
        <v>1125</v>
      </c>
      <c r="E132" t="s">
        <v>976</v>
      </c>
      <c r="F132" s="12">
        <v>38</v>
      </c>
      <c r="G132" t="s">
        <v>2488</v>
      </c>
    </row>
    <row r="133" spans="1:7">
      <c r="A133" s="6" t="s">
        <v>4763</v>
      </c>
      <c r="B133" t="s">
        <v>965</v>
      </c>
      <c r="C133" t="s">
        <v>966</v>
      </c>
      <c r="D133" t="s">
        <v>1126</v>
      </c>
      <c r="E133" t="s">
        <v>976</v>
      </c>
      <c r="F133" t="s">
        <v>2436</v>
      </c>
      <c r="G133" t="e">
        <v>#VALUE!</v>
      </c>
    </row>
    <row r="134" spans="1:7">
      <c r="A134" s="6" t="s">
        <v>4724</v>
      </c>
      <c r="B134" t="s">
        <v>965</v>
      </c>
      <c r="C134" t="s">
        <v>966</v>
      </c>
      <c r="D134" t="s">
        <v>1127</v>
      </c>
      <c r="E134" t="s">
        <v>1128</v>
      </c>
      <c r="F134" s="12">
        <v>56</v>
      </c>
      <c r="G134" t="s">
        <v>2512</v>
      </c>
    </row>
    <row r="135" spans="1:7">
      <c r="A135" s="6" t="s">
        <v>4851</v>
      </c>
      <c r="B135" t="s">
        <v>965</v>
      </c>
      <c r="C135" t="s">
        <v>966</v>
      </c>
      <c r="D135" t="s">
        <v>1129</v>
      </c>
      <c r="E135" t="s">
        <v>1028</v>
      </c>
      <c r="F135" s="12">
        <v>45</v>
      </c>
      <c r="G135" t="s">
        <v>2470</v>
      </c>
    </row>
    <row r="136" spans="1:7">
      <c r="A136" s="6" t="s">
        <v>4842</v>
      </c>
      <c r="B136" t="s">
        <v>965</v>
      </c>
      <c r="C136" t="s">
        <v>966</v>
      </c>
      <c r="D136" t="s">
        <v>1130</v>
      </c>
      <c r="E136" t="s">
        <v>1031</v>
      </c>
      <c r="F136" s="12">
        <v>40</v>
      </c>
      <c r="G136" t="s">
        <v>2489</v>
      </c>
    </row>
    <row r="137" spans="1:7">
      <c r="A137" s="6" t="s">
        <v>4737</v>
      </c>
      <c r="B137" t="s">
        <v>965</v>
      </c>
      <c r="C137" t="s">
        <v>966</v>
      </c>
      <c r="D137" t="s">
        <v>1131</v>
      </c>
      <c r="E137" t="s">
        <v>968</v>
      </c>
      <c r="F137" s="12">
        <v>40</v>
      </c>
      <c r="G137" t="s">
        <v>2489</v>
      </c>
    </row>
    <row r="138" spans="1:7">
      <c r="A138" s="6" t="s">
        <v>4775</v>
      </c>
      <c r="B138" t="s">
        <v>965</v>
      </c>
      <c r="C138" t="s">
        <v>966</v>
      </c>
      <c r="D138" t="s">
        <v>1132</v>
      </c>
      <c r="E138" t="s">
        <v>1043</v>
      </c>
      <c r="F138" s="12">
        <v>35</v>
      </c>
      <c r="G138" t="s">
        <v>2491</v>
      </c>
    </row>
    <row r="139" spans="1:7">
      <c r="A139" s="6" t="s">
        <v>4852</v>
      </c>
      <c r="B139" t="s">
        <v>965</v>
      </c>
      <c r="C139" t="s">
        <v>966</v>
      </c>
      <c r="D139" t="s">
        <v>1133</v>
      </c>
      <c r="E139" t="s">
        <v>1028</v>
      </c>
      <c r="F139" s="12">
        <v>24</v>
      </c>
      <c r="G139" t="s">
        <v>2506</v>
      </c>
    </row>
    <row r="140" spans="1:7">
      <c r="A140" s="6" t="s">
        <v>4843</v>
      </c>
      <c r="B140" t="s">
        <v>965</v>
      </c>
      <c r="C140" t="s">
        <v>966</v>
      </c>
      <c r="D140" t="s">
        <v>1134</v>
      </c>
      <c r="E140" t="s">
        <v>1028</v>
      </c>
      <c r="F140" s="12">
        <v>47</v>
      </c>
      <c r="G140" t="s">
        <v>2495</v>
      </c>
    </row>
    <row r="141" spans="1:7">
      <c r="A141" s="6"/>
      <c r="F141" t="e">
        <v>#VALUE!</v>
      </c>
      <c r="G141" t="e">
        <v>#VALUE!</v>
      </c>
    </row>
    <row r="142" spans="1:7">
      <c r="A142" s="6" t="s">
        <v>4853</v>
      </c>
      <c r="B142" t="s">
        <v>965</v>
      </c>
      <c r="C142" t="s">
        <v>966</v>
      </c>
      <c r="D142" t="s">
        <v>1135</v>
      </c>
      <c r="E142" t="s">
        <v>1095</v>
      </c>
      <c r="F142" s="12">
        <v>22</v>
      </c>
      <c r="G142" t="s">
        <v>2472</v>
      </c>
    </row>
    <row r="143" spans="1:7">
      <c r="A143" s="6" t="s">
        <v>4854</v>
      </c>
      <c r="B143" t="s">
        <v>965</v>
      </c>
      <c r="C143" t="s">
        <v>966</v>
      </c>
      <c r="D143" t="s">
        <v>1136</v>
      </c>
      <c r="E143" t="s">
        <v>1026</v>
      </c>
      <c r="F143" s="12">
        <v>22</v>
      </c>
      <c r="G143" t="s">
        <v>2472</v>
      </c>
    </row>
    <row r="144" spans="1:7">
      <c r="A144" s="6" t="s">
        <v>4855</v>
      </c>
      <c r="B144" t="s">
        <v>965</v>
      </c>
      <c r="C144" t="s">
        <v>966</v>
      </c>
      <c r="D144" t="s">
        <v>1137</v>
      </c>
      <c r="E144" t="s">
        <v>1028</v>
      </c>
      <c r="F144" s="12">
        <v>20</v>
      </c>
      <c r="G144" t="s">
        <v>2481</v>
      </c>
    </row>
    <row r="145" spans="1:7">
      <c r="A145" s="6" t="s">
        <v>4856</v>
      </c>
      <c r="B145" t="s">
        <v>965</v>
      </c>
      <c r="C145" t="s">
        <v>966</v>
      </c>
      <c r="D145" t="s">
        <v>1138</v>
      </c>
      <c r="E145" t="s">
        <v>1043</v>
      </c>
      <c r="F145" s="12">
        <v>35</v>
      </c>
      <c r="G145" t="s">
        <v>2491</v>
      </c>
    </row>
    <row r="146" spans="1:7">
      <c r="A146" s="6" t="s">
        <v>4857</v>
      </c>
      <c r="B146" t="s">
        <v>965</v>
      </c>
      <c r="C146" t="s">
        <v>966</v>
      </c>
      <c r="D146" t="s">
        <v>1139</v>
      </c>
      <c r="E146" t="s">
        <v>1028</v>
      </c>
      <c r="F146" s="12">
        <v>47</v>
      </c>
      <c r="G146" t="s">
        <v>2495</v>
      </c>
    </row>
    <row r="147" spans="1:7">
      <c r="A147" s="6" t="s">
        <v>4858</v>
      </c>
      <c r="B147" t="s">
        <v>965</v>
      </c>
      <c r="C147" t="s">
        <v>966</v>
      </c>
      <c r="D147" t="s">
        <v>1140</v>
      </c>
      <c r="E147" t="s">
        <v>1028</v>
      </c>
      <c r="F147" s="12">
        <v>56</v>
      </c>
      <c r="G147" t="s">
        <v>2512</v>
      </c>
    </row>
    <row r="148" spans="1:7">
      <c r="A148" s="6" t="s">
        <v>4859</v>
      </c>
      <c r="B148" t="s">
        <v>965</v>
      </c>
      <c r="C148" t="s">
        <v>966</v>
      </c>
      <c r="D148" t="s">
        <v>1141</v>
      </c>
      <c r="E148" t="s">
        <v>1031</v>
      </c>
      <c r="F148" s="12">
        <v>39</v>
      </c>
      <c r="G148" t="s">
        <v>2515</v>
      </c>
    </row>
    <row r="149" spans="1:7">
      <c r="A149" s="6" t="s">
        <v>4860</v>
      </c>
      <c r="B149" t="s">
        <v>965</v>
      </c>
      <c r="C149" t="s">
        <v>966</v>
      </c>
      <c r="D149" t="s">
        <v>1142</v>
      </c>
      <c r="E149" t="s">
        <v>1095</v>
      </c>
      <c r="F149" s="12">
        <v>22</v>
      </c>
      <c r="G149" t="s">
        <v>2472</v>
      </c>
    </row>
    <row r="150" spans="1:7">
      <c r="A150" s="6" t="s">
        <v>4844</v>
      </c>
      <c r="B150" t="s">
        <v>965</v>
      </c>
      <c r="C150" t="s">
        <v>966</v>
      </c>
      <c r="D150" t="s">
        <v>1143</v>
      </c>
      <c r="E150" t="s">
        <v>1028</v>
      </c>
      <c r="F150" s="12">
        <v>29</v>
      </c>
      <c r="G150" t="s">
        <v>2503</v>
      </c>
    </row>
    <row r="151" spans="1:7">
      <c r="A151" s="6" t="s">
        <v>4844</v>
      </c>
      <c r="B151" t="s">
        <v>965</v>
      </c>
      <c r="C151" t="s">
        <v>966</v>
      </c>
      <c r="D151" t="s">
        <v>1144</v>
      </c>
      <c r="E151" t="s">
        <v>1028</v>
      </c>
      <c r="F151" s="12">
        <v>20</v>
      </c>
      <c r="G151" t="s">
        <v>2481</v>
      </c>
    </row>
    <row r="152" spans="1:7">
      <c r="A152" s="6" t="s">
        <v>4844</v>
      </c>
      <c r="B152" t="s">
        <v>965</v>
      </c>
      <c r="C152" t="s">
        <v>966</v>
      </c>
      <c r="D152" t="s">
        <v>1145</v>
      </c>
      <c r="E152" t="s">
        <v>1026</v>
      </c>
      <c r="F152" s="12">
        <v>45</v>
      </c>
      <c r="G152" t="s">
        <v>2470</v>
      </c>
    </row>
    <row r="153" spans="1:7">
      <c r="A153" s="6" t="s">
        <v>4861</v>
      </c>
      <c r="B153" t="s">
        <v>965</v>
      </c>
      <c r="C153" t="s">
        <v>966</v>
      </c>
      <c r="D153" t="s">
        <v>1146</v>
      </c>
      <c r="E153" t="s">
        <v>1028</v>
      </c>
      <c r="F153" s="12">
        <v>20</v>
      </c>
      <c r="G153" t="s">
        <v>2481</v>
      </c>
    </row>
    <row r="154" spans="1:7">
      <c r="A154" s="6" t="s">
        <v>4862</v>
      </c>
      <c r="B154" t="s">
        <v>965</v>
      </c>
      <c r="C154" t="s">
        <v>966</v>
      </c>
      <c r="D154" t="s">
        <v>1147</v>
      </c>
      <c r="E154" t="s">
        <v>976</v>
      </c>
      <c r="F154" s="12">
        <v>38</v>
      </c>
      <c r="G154" t="s">
        <v>2488</v>
      </c>
    </row>
    <row r="155" spans="1:7">
      <c r="A155" s="6" t="s">
        <v>4863</v>
      </c>
      <c r="B155" t="s">
        <v>965</v>
      </c>
      <c r="C155" t="s">
        <v>966</v>
      </c>
      <c r="D155" t="s">
        <v>1148</v>
      </c>
      <c r="E155" t="s">
        <v>1043</v>
      </c>
      <c r="F155" s="12">
        <v>20</v>
      </c>
      <c r="G155" t="s">
        <v>2481</v>
      </c>
    </row>
    <row r="156" spans="1:7">
      <c r="A156" s="6" t="s">
        <v>4864</v>
      </c>
      <c r="B156" t="s">
        <v>965</v>
      </c>
      <c r="C156" t="s">
        <v>966</v>
      </c>
      <c r="D156" t="s">
        <v>1149</v>
      </c>
      <c r="E156" t="s">
        <v>1028</v>
      </c>
      <c r="F156" s="12">
        <v>21</v>
      </c>
      <c r="G156" t="s">
        <v>2516</v>
      </c>
    </row>
    <row r="157" spans="1:7">
      <c r="A157" s="6" t="s">
        <v>4750</v>
      </c>
      <c r="B157" t="s">
        <v>965</v>
      </c>
      <c r="C157" t="s">
        <v>966</v>
      </c>
      <c r="D157" t="s">
        <v>1150</v>
      </c>
      <c r="E157" t="s">
        <v>1128</v>
      </c>
      <c r="F157" s="12">
        <v>51</v>
      </c>
      <c r="G157" t="s">
        <v>2508</v>
      </c>
    </row>
    <row r="158" spans="1:7">
      <c r="A158" s="6" t="s">
        <v>4765</v>
      </c>
      <c r="B158" t="s">
        <v>965</v>
      </c>
      <c r="C158" t="s">
        <v>966</v>
      </c>
      <c r="D158" t="s">
        <v>1151</v>
      </c>
      <c r="E158" t="s">
        <v>986</v>
      </c>
      <c r="F158" s="12">
        <v>62</v>
      </c>
      <c r="G158" t="s">
        <v>2505</v>
      </c>
    </row>
    <row r="159" spans="1:7">
      <c r="A159" s="6" t="s">
        <v>4865</v>
      </c>
      <c r="B159" t="s">
        <v>965</v>
      </c>
      <c r="C159" t="s">
        <v>966</v>
      </c>
      <c r="D159" t="s">
        <v>1152</v>
      </c>
      <c r="E159" t="s">
        <v>1028</v>
      </c>
      <c r="F159" s="12">
        <v>40</v>
      </c>
      <c r="G159" t="s">
        <v>2489</v>
      </c>
    </row>
    <row r="160" spans="1:7">
      <c r="A160" s="6" t="s">
        <v>4866</v>
      </c>
      <c r="B160" t="s">
        <v>965</v>
      </c>
      <c r="C160" t="s">
        <v>966</v>
      </c>
      <c r="D160" t="s">
        <v>1153</v>
      </c>
      <c r="E160" t="s">
        <v>1028</v>
      </c>
      <c r="F160" s="12">
        <v>52</v>
      </c>
      <c r="G160" t="s">
        <v>2499</v>
      </c>
    </row>
    <row r="161" spans="1:7">
      <c r="A161" s="6"/>
      <c r="F161" t="e">
        <v>#VALUE!</v>
      </c>
      <c r="G161" t="e">
        <v>#VALUE!</v>
      </c>
    </row>
    <row r="162" spans="1:7">
      <c r="A162" s="6" t="s">
        <v>210</v>
      </c>
      <c r="B162" t="s">
        <v>965</v>
      </c>
      <c r="C162" t="s">
        <v>966</v>
      </c>
      <c r="D162" t="s">
        <v>1154</v>
      </c>
      <c r="E162" t="s">
        <v>1022</v>
      </c>
      <c r="F162" s="12">
        <v>49</v>
      </c>
      <c r="G162" t="s">
        <v>2493</v>
      </c>
    </row>
    <row r="163" spans="1:7">
      <c r="A163" s="6"/>
      <c r="F163" t="e">
        <v>#VALUE!</v>
      </c>
      <c r="G163" t="e">
        <v>#VALUE!</v>
      </c>
    </row>
    <row r="164" spans="1:7">
      <c r="A164" s="6" t="s">
        <v>1155</v>
      </c>
      <c r="B164" t="s">
        <v>965</v>
      </c>
      <c r="C164" t="s">
        <v>966</v>
      </c>
      <c r="D164" t="s">
        <v>1156</v>
      </c>
      <c r="E164" t="s">
        <v>1022</v>
      </c>
      <c r="F164" s="12">
        <v>49</v>
      </c>
      <c r="G164" t="s">
        <v>2493</v>
      </c>
    </row>
    <row r="165" spans="1:7">
      <c r="A165" s="6" t="s">
        <v>1157</v>
      </c>
      <c r="B165" t="s">
        <v>965</v>
      </c>
      <c r="C165" t="s">
        <v>966</v>
      </c>
      <c r="D165" t="s">
        <v>1158</v>
      </c>
      <c r="E165" t="s">
        <v>1022</v>
      </c>
      <c r="F165" s="12">
        <v>26</v>
      </c>
      <c r="G165" t="s">
        <v>2497</v>
      </c>
    </row>
    <row r="166" spans="1:7">
      <c r="A166" s="6"/>
      <c r="F166" t="e">
        <v>#VALUE!</v>
      </c>
      <c r="G166" t="e">
        <v>#VALUE!</v>
      </c>
    </row>
    <row r="167" spans="1:7">
      <c r="A167" s="6" t="s">
        <v>1159</v>
      </c>
      <c r="B167" t="s">
        <v>965</v>
      </c>
      <c r="C167" t="s">
        <v>966</v>
      </c>
      <c r="D167" t="s">
        <v>1160</v>
      </c>
      <c r="E167" t="s">
        <v>986</v>
      </c>
      <c r="F167" s="12">
        <v>46</v>
      </c>
      <c r="G167" t="s">
        <v>2504</v>
      </c>
    </row>
    <row r="168" spans="1:7">
      <c r="A168" s="6" t="s">
        <v>212</v>
      </c>
      <c r="B168" t="s">
        <v>965</v>
      </c>
      <c r="C168" t="s">
        <v>966</v>
      </c>
      <c r="D168" t="s">
        <v>1161</v>
      </c>
      <c r="E168" t="s">
        <v>995</v>
      </c>
      <c r="F168" s="12">
        <v>40</v>
      </c>
      <c r="G168" t="s">
        <v>2489</v>
      </c>
    </row>
    <row r="169" spans="1:7">
      <c r="A169" s="6" t="s">
        <v>214</v>
      </c>
      <c r="B169" t="s">
        <v>965</v>
      </c>
      <c r="C169" t="s">
        <v>966</v>
      </c>
      <c r="D169" t="s">
        <v>1162</v>
      </c>
      <c r="E169" t="s">
        <v>970</v>
      </c>
      <c r="F169" s="12">
        <v>48</v>
      </c>
      <c r="G169" t="s">
        <v>2478</v>
      </c>
    </row>
    <row r="170" spans="1:7">
      <c r="A170" s="6" t="s">
        <v>215</v>
      </c>
      <c r="B170" t="s">
        <v>965</v>
      </c>
      <c r="C170" t="s">
        <v>966</v>
      </c>
      <c r="D170" t="s">
        <v>1163</v>
      </c>
      <c r="E170" t="s">
        <v>1026</v>
      </c>
      <c r="F170" s="12">
        <v>48</v>
      </c>
      <c r="G170" t="s">
        <v>2478</v>
      </c>
    </row>
    <row r="171" spans="1:7">
      <c r="A171" s="6" t="s">
        <v>1164</v>
      </c>
      <c r="B171" t="s">
        <v>965</v>
      </c>
      <c r="C171" t="s">
        <v>966</v>
      </c>
      <c r="D171" t="s">
        <v>1165</v>
      </c>
      <c r="E171" t="s">
        <v>995</v>
      </c>
      <c r="F171" s="12">
        <v>20</v>
      </c>
      <c r="G171" t="s">
        <v>2481</v>
      </c>
    </row>
    <row r="172" spans="1:7">
      <c r="A172" s="6" t="s">
        <v>216</v>
      </c>
      <c r="B172" t="s">
        <v>965</v>
      </c>
      <c r="C172" t="s">
        <v>966</v>
      </c>
      <c r="D172" t="s">
        <v>1166</v>
      </c>
      <c r="E172" t="s">
        <v>1005</v>
      </c>
      <c r="F172" s="12">
        <v>45</v>
      </c>
      <c r="G172" t="s">
        <v>2470</v>
      </c>
    </row>
    <row r="173" spans="1:7">
      <c r="A173" s="6" t="s">
        <v>217</v>
      </c>
      <c r="B173" t="s">
        <v>965</v>
      </c>
      <c r="C173" t="s">
        <v>966</v>
      </c>
      <c r="D173" t="s">
        <v>1167</v>
      </c>
      <c r="E173" t="s">
        <v>1020</v>
      </c>
      <c r="F173" s="12">
        <v>27</v>
      </c>
      <c r="G173" t="s">
        <v>2509</v>
      </c>
    </row>
    <row r="174" spans="1:7">
      <c r="A174" s="6" t="s">
        <v>218</v>
      </c>
      <c r="B174" t="s">
        <v>965</v>
      </c>
      <c r="C174" t="s">
        <v>966</v>
      </c>
      <c r="D174" t="s">
        <v>1168</v>
      </c>
      <c r="E174" t="s">
        <v>1020</v>
      </c>
      <c r="F174" t="s">
        <v>2436</v>
      </c>
      <c r="G174" t="e">
        <v>#VALUE!</v>
      </c>
    </row>
    <row r="175" spans="1:7">
      <c r="A175" s="6" t="s">
        <v>1169</v>
      </c>
      <c r="B175" t="s">
        <v>965</v>
      </c>
      <c r="C175" t="s">
        <v>966</v>
      </c>
      <c r="D175" t="s">
        <v>1170</v>
      </c>
      <c r="E175" t="s">
        <v>970</v>
      </c>
      <c r="F175" s="12">
        <v>18</v>
      </c>
      <c r="G175" t="s">
        <v>2477</v>
      </c>
    </row>
    <row r="176" spans="1:7">
      <c r="A176" s="6" t="s">
        <v>220</v>
      </c>
      <c r="B176" t="s">
        <v>965</v>
      </c>
      <c r="C176" t="s">
        <v>966</v>
      </c>
      <c r="D176" t="s">
        <v>1171</v>
      </c>
      <c r="E176" t="s">
        <v>1005</v>
      </c>
      <c r="F176" s="12">
        <v>29</v>
      </c>
      <c r="G176" t="s">
        <v>2503</v>
      </c>
    </row>
    <row r="177" spans="1:7">
      <c r="A177" s="6" t="s">
        <v>221</v>
      </c>
      <c r="B177" t="s">
        <v>965</v>
      </c>
      <c r="C177" t="s">
        <v>966</v>
      </c>
      <c r="D177" t="s">
        <v>1172</v>
      </c>
      <c r="E177" t="s">
        <v>1117</v>
      </c>
      <c r="F177" s="12">
        <v>45</v>
      </c>
      <c r="G177" t="s">
        <v>2470</v>
      </c>
    </row>
    <row r="178" spans="1:7">
      <c r="A178" s="6" t="s">
        <v>1173</v>
      </c>
      <c r="B178" t="s">
        <v>965</v>
      </c>
      <c r="C178" t="s">
        <v>966</v>
      </c>
      <c r="D178" t="s">
        <v>1174</v>
      </c>
      <c r="E178" t="s">
        <v>968</v>
      </c>
      <c r="F178" s="12">
        <v>30</v>
      </c>
      <c r="G178" t="s">
        <v>2485</v>
      </c>
    </row>
    <row r="179" spans="1:7">
      <c r="A179" s="6" t="s">
        <v>223</v>
      </c>
      <c r="B179" t="s">
        <v>965</v>
      </c>
      <c r="C179" t="s">
        <v>966</v>
      </c>
      <c r="D179" t="s">
        <v>1175</v>
      </c>
      <c r="E179" t="s">
        <v>1005</v>
      </c>
      <c r="F179" s="12">
        <v>22</v>
      </c>
      <c r="G179" t="s">
        <v>2472</v>
      </c>
    </row>
    <row r="180" spans="1:7">
      <c r="A180" s="6" t="s">
        <v>1176</v>
      </c>
      <c r="B180" t="s">
        <v>965</v>
      </c>
      <c r="C180" t="s">
        <v>966</v>
      </c>
      <c r="D180" t="s">
        <v>1177</v>
      </c>
      <c r="E180" t="s">
        <v>1017</v>
      </c>
      <c r="F180" s="12">
        <v>43</v>
      </c>
      <c r="G180" t="s">
        <v>2494</v>
      </c>
    </row>
    <row r="181" spans="1:7">
      <c r="A181" s="6"/>
      <c r="F181" t="e">
        <v>#VALUE!</v>
      </c>
      <c r="G181" t="e">
        <v>#VALUE!</v>
      </c>
    </row>
    <row r="182" spans="1:7">
      <c r="A182" s="6" t="s">
        <v>1178</v>
      </c>
      <c r="B182" t="s">
        <v>965</v>
      </c>
      <c r="C182" t="s">
        <v>966</v>
      </c>
      <c r="D182" t="s">
        <v>1179</v>
      </c>
      <c r="E182" t="s">
        <v>1117</v>
      </c>
      <c r="F182" s="12">
        <v>36</v>
      </c>
      <c r="G182" t="s">
        <v>2473</v>
      </c>
    </row>
    <row r="183" spans="1:7">
      <c r="A183" s="6" t="s">
        <v>1180</v>
      </c>
      <c r="B183" t="s">
        <v>965</v>
      </c>
      <c r="C183" t="s">
        <v>966</v>
      </c>
      <c r="D183" t="s">
        <v>1181</v>
      </c>
      <c r="E183" t="s">
        <v>1026</v>
      </c>
      <c r="F183" s="12">
        <v>48</v>
      </c>
      <c r="G183" t="s">
        <v>2478</v>
      </c>
    </row>
    <row r="184" spans="1:7">
      <c r="A184" s="6" t="s">
        <v>1182</v>
      </c>
      <c r="B184" t="s">
        <v>965</v>
      </c>
      <c r="C184" t="s">
        <v>966</v>
      </c>
      <c r="D184" t="s">
        <v>1183</v>
      </c>
      <c r="E184" t="s">
        <v>970</v>
      </c>
      <c r="F184" s="12">
        <v>46</v>
      </c>
      <c r="G184" t="s">
        <v>2504</v>
      </c>
    </row>
    <row r="185" spans="1:7">
      <c r="A185" s="6"/>
      <c r="F185" t="e">
        <v>#VALUE!</v>
      </c>
      <c r="G185" t="e">
        <v>#VALUE!</v>
      </c>
    </row>
    <row r="186" spans="1:7">
      <c r="A186" s="6" t="s">
        <v>1184</v>
      </c>
      <c r="B186" t="s">
        <v>965</v>
      </c>
      <c r="C186" t="s">
        <v>966</v>
      </c>
      <c r="D186" t="s">
        <v>1185</v>
      </c>
      <c r="E186" t="s">
        <v>1020</v>
      </c>
      <c r="F186" s="12">
        <v>44</v>
      </c>
      <c r="G186" t="s">
        <v>2475</v>
      </c>
    </row>
    <row r="187" spans="1:7">
      <c r="A187" s="6"/>
      <c r="F187" t="e">
        <v>#VALUE!</v>
      </c>
      <c r="G187" t="e">
        <v>#VALUE!</v>
      </c>
    </row>
    <row r="188" spans="1:7">
      <c r="A188" s="6" t="s">
        <v>1186</v>
      </c>
      <c r="B188" t="s">
        <v>965</v>
      </c>
      <c r="C188" t="s">
        <v>966</v>
      </c>
      <c r="D188" t="s">
        <v>1187</v>
      </c>
      <c r="E188" t="s">
        <v>1117</v>
      </c>
      <c r="F188" s="12">
        <v>62</v>
      </c>
      <c r="G188" t="s">
        <v>2505</v>
      </c>
    </row>
    <row r="189" spans="1:7">
      <c r="A189" s="6"/>
      <c r="F189" t="e">
        <v>#VALUE!</v>
      </c>
      <c r="G189" t="e">
        <v>#VALUE!</v>
      </c>
    </row>
    <row r="190" spans="1:7">
      <c r="A190" s="6" t="s">
        <v>1188</v>
      </c>
      <c r="B190" t="s">
        <v>965</v>
      </c>
      <c r="C190" t="s">
        <v>966</v>
      </c>
      <c r="D190" t="s">
        <v>1189</v>
      </c>
      <c r="E190" t="s">
        <v>1117</v>
      </c>
      <c r="F190" s="12">
        <v>49</v>
      </c>
      <c r="G190" t="s">
        <v>2493</v>
      </c>
    </row>
    <row r="191" spans="1:7">
      <c r="A191" s="6"/>
      <c r="F191" t="e">
        <v>#VALUE!</v>
      </c>
      <c r="G191" t="e">
        <v>#VALUE!</v>
      </c>
    </row>
    <row r="192" spans="1:7">
      <c r="A192" s="6" t="s">
        <v>1190</v>
      </c>
      <c r="B192" t="s">
        <v>965</v>
      </c>
      <c r="C192" t="s">
        <v>966</v>
      </c>
      <c r="D192" t="s">
        <v>1191</v>
      </c>
      <c r="E192" t="s">
        <v>1026</v>
      </c>
      <c r="F192" s="12">
        <v>18</v>
      </c>
      <c r="G192" t="s">
        <v>2477</v>
      </c>
    </row>
    <row r="193" spans="1:7">
      <c r="A193" s="6"/>
      <c r="F193" t="e">
        <v>#VALUE!</v>
      </c>
      <c r="G193" t="e">
        <v>#VALUE!</v>
      </c>
    </row>
    <row r="194" spans="1:7">
      <c r="A194" s="6" t="s">
        <v>1192</v>
      </c>
      <c r="B194" t="s">
        <v>965</v>
      </c>
      <c r="C194" t="s">
        <v>966</v>
      </c>
      <c r="D194" t="s">
        <v>1193</v>
      </c>
      <c r="E194" t="s">
        <v>973</v>
      </c>
      <c r="F194" s="12">
        <v>45</v>
      </c>
      <c r="G194" t="s">
        <v>2470</v>
      </c>
    </row>
    <row r="195" spans="1:7">
      <c r="A195" s="6"/>
      <c r="F195" t="e">
        <v>#VALUE!</v>
      </c>
      <c r="G195" t="e">
        <v>#VALUE!</v>
      </c>
    </row>
    <row r="196" spans="1:7">
      <c r="A196" s="6" t="s">
        <v>1194</v>
      </c>
      <c r="B196" t="s">
        <v>965</v>
      </c>
      <c r="C196" t="s">
        <v>966</v>
      </c>
      <c r="D196" t="s">
        <v>1195</v>
      </c>
      <c r="E196" t="s">
        <v>1005</v>
      </c>
      <c r="F196" s="12">
        <v>32</v>
      </c>
      <c r="G196" t="s">
        <v>2476</v>
      </c>
    </row>
    <row r="197" spans="1:7">
      <c r="A197" s="6"/>
      <c r="F197" t="e">
        <v>#VALUE!</v>
      </c>
      <c r="G197" t="e">
        <v>#VALUE!</v>
      </c>
    </row>
    <row r="198" spans="1:7">
      <c r="A198" s="6" t="s">
        <v>1196</v>
      </c>
      <c r="B198" t="s">
        <v>965</v>
      </c>
      <c r="C198" t="s">
        <v>966</v>
      </c>
      <c r="D198" t="s">
        <v>1197</v>
      </c>
      <c r="E198" t="s">
        <v>995</v>
      </c>
      <c r="F198" s="12">
        <v>24</v>
      </c>
      <c r="G198" t="s">
        <v>2506</v>
      </c>
    </row>
    <row r="199" spans="1:7">
      <c r="A199" s="6" t="s">
        <v>1198</v>
      </c>
      <c r="B199" t="s">
        <v>965</v>
      </c>
      <c r="C199" t="s">
        <v>966</v>
      </c>
      <c r="D199" t="s">
        <v>1199</v>
      </c>
      <c r="E199" t="s">
        <v>995</v>
      </c>
      <c r="F199" s="12">
        <v>18</v>
      </c>
      <c r="G199" t="s">
        <v>2477</v>
      </c>
    </row>
    <row r="200" spans="1:7">
      <c r="A200" s="6" t="s">
        <v>1200</v>
      </c>
      <c r="B200" t="s">
        <v>965</v>
      </c>
      <c r="C200" t="s">
        <v>966</v>
      </c>
      <c r="D200" t="s">
        <v>1201</v>
      </c>
      <c r="E200" t="s">
        <v>1202</v>
      </c>
      <c r="F200" s="12">
        <v>41</v>
      </c>
      <c r="G200" t="s">
        <v>2517</v>
      </c>
    </row>
    <row r="201" spans="1:7">
      <c r="A201" s="6" t="s">
        <v>1203</v>
      </c>
      <c r="B201" t="s">
        <v>965</v>
      </c>
      <c r="C201" t="s">
        <v>966</v>
      </c>
      <c r="D201" t="s">
        <v>1204</v>
      </c>
      <c r="E201" t="s">
        <v>995</v>
      </c>
      <c r="F201" s="12">
        <v>48</v>
      </c>
      <c r="G201" t="s">
        <v>2478</v>
      </c>
    </row>
    <row r="202" spans="1:7">
      <c r="A202" s="6"/>
      <c r="F202" t="e">
        <v>#VALUE!</v>
      </c>
      <c r="G202" t="e">
        <v>#VALUE!</v>
      </c>
    </row>
    <row r="203" spans="1:7">
      <c r="A203" s="6" t="s">
        <v>1205</v>
      </c>
      <c r="B203" t="s">
        <v>965</v>
      </c>
      <c r="C203" t="s">
        <v>966</v>
      </c>
      <c r="D203" t="s">
        <v>1206</v>
      </c>
      <c r="E203" t="s">
        <v>995</v>
      </c>
      <c r="F203" s="12">
        <v>44</v>
      </c>
      <c r="G203" t="s">
        <v>2475</v>
      </c>
    </row>
    <row r="204" spans="1:7">
      <c r="A204" s="6" t="s">
        <v>1207</v>
      </c>
      <c r="B204" t="s">
        <v>965</v>
      </c>
      <c r="C204" t="s">
        <v>966</v>
      </c>
      <c r="D204" t="s">
        <v>1208</v>
      </c>
      <c r="E204" t="s">
        <v>1202</v>
      </c>
      <c r="F204" s="12">
        <v>37</v>
      </c>
      <c r="G204" t="s">
        <v>2507</v>
      </c>
    </row>
    <row r="205" spans="1:7">
      <c r="A205" s="6"/>
      <c r="F205" t="e">
        <v>#VALUE!</v>
      </c>
      <c r="G205" t="e">
        <v>#VALUE!</v>
      </c>
    </row>
    <row r="206" spans="1:7">
      <c r="A206" s="6" t="s">
        <v>1209</v>
      </c>
      <c r="B206" t="s">
        <v>965</v>
      </c>
      <c r="C206" t="s">
        <v>966</v>
      </c>
      <c r="D206" t="s">
        <v>1210</v>
      </c>
      <c r="E206" t="s">
        <v>995</v>
      </c>
      <c r="F206" s="12">
        <v>36</v>
      </c>
      <c r="G206" t="s">
        <v>2473</v>
      </c>
    </row>
    <row r="207" spans="1:7">
      <c r="A207" s="6"/>
      <c r="F207" t="e">
        <v>#VALUE!</v>
      </c>
      <c r="G207" t="e">
        <v>#VALUE!</v>
      </c>
    </row>
    <row r="208" spans="1:7">
      <c r="A208" s="6" t="s">
        <v>1211</v>
      </c>
      <c r="B208" t="s">
        <v>965</v>
      </c>
      <c r="C208" t="s">
        <v>966</v>
      </c>
      <c r="D208" t="s">
        <v>1212</v>
      </c>
      <c r="E208" t="s">
        <v>995</v>
      </c>
      <c r="F208" s="12">
        <v>39</v>
      </c>
      <c r="G208" t="s">
        <v>2515</v>
      </c>
    </row>
    <row r="209" spans="1:7">
      <c r="A209" s="6" t="s">
        <v>1213</v>
      </c>
      <c r="B209" t="s">
        <v>965</v>
      </c>
      <c r="C209" t="s">
        <v>966</v>
      </c>
      <c r="D209" t="s">
        <v>1214</v>
      </c>
      <c r="E209" t="s">
        <v>1020</v>
      </c>
      <c r="F209" s="12">
        <v>30</v>
      </c>
      <c r="G209" t="s">
        <v>2485</v>
      </c>
    </row>
    <row r="210" spans="1:7">
      <c r="A210" s="6" t="s">
        <v>1215</v>
      </c>
      <c r="B210" t="s">
        <v>965</v>
      </c>
      <c r="C210" t="s">
        <v>966</v>
      </c>
      <c r="D210" t="s">
        <v>1216</v>
      </c>
      <c r="E210" t="s">
        <v>973</v>
      </c>
      <c r="F210" s="12">
        <v>45</v>
      </c>
      <c r="G210" t="s">
        <v>2470</v>
      </c>
    </row>
    <row r="211" spans="1:7">
      <c r="A211" s="6"/>
      <c r="F211" t="e">
        <v>#VALUE!</v>
      </c>
      <c r="G211" t="e">
        <v>#VALUE!</v>
      </c>
    </row>
    <row r="212" spans="1:7">
      <c r="A212" s="6" t="s">
        <v>1217</v>
      </c>
      <c r="B212" t="s">
        <v>965</v>
      </c>
      <c r="C212" t="s">
        <v>966</v>
      </c>
      <c r="D212" t="s">
        <v>1218</v>
      </c>
      <c r="E212" t="s">
        <v>973</v>
      </c>
      <c r="F212" s="12">
        <v>50</v>
      </c>
      <c r="G212" t="s">
        <v>2490</v>
      </c>
    </row>
    <row r="213" spans="1:7">
      <c r="A213" s="6" t="s">
        <v>1219</v>
      </c>
      <c r="B213" t="s">
        <v>965</v>
      </c>
      <c r="C213" t="s">
        <v>966</v>
      </c>
      <c r="D213" t="s">
        <v>1220</v>
      </c>
      <c r="E213" t="s">
        <v>1007</v>
      </c>
      <c r="F213" s="12">
        <v>38</v>
      </c>
      <c r="G213" t="s">
        <v>2488</v>
      </c>
    </row>
    <row r="214" spans="1:7">
      <c r="A214" s="6"/>
      <c r="F214" t="e">
        <v>#VALUE!</v>
      </c>
      <c r="G214" t="e">
        <v>#VALUE!</v>
      </c>
    </row>
    <row r="215" spans="1:7">
      <c r="A215" s="6" t="s">
        <v>1221</v>
      </c>
      <c r="B215" t="s">
        <v>965</v>
      </c>
      <c r="C215" t="s">
        <v>966</v>
      </c>
      <c r="D215" t="s">
        <v>1222</v>
      </c>
      <c r="E215" t="s">
        <v>970</v>
      </c>
      <c r="F215" s="12">
        <v>55</v>
      </c>
      <c r="G215" t="s">
        <v>2492</v>
      </c>
    </row>
    <row r="216" spans="1:7">
      <c r="A216" s="6" t="s">
        <v>1223</v>
      </c>
      <c r="B216" t="s">
        <v>965</v>
      </c>
      <c r="C216" t="s">
        <v>966</v>
      </c>
      <c r="D216" t="s">
        <v>1224</v>
      </c>
      <c r="E216" t="s">
        <v>1043</v>
      </c>
      <c r="F216" s="12">
        <v>31</v>
      </c>
      <c r="G216" t="s">
        <v>2480</v>
      </c>
    </row>
    <row r="217" spans="1:7">
      <c r="A217" s="6" t="s">
        <v>1225</v>
      </c>
      <c r="B217" t="s">
        <v>965</v>
      </c>
      <c r="C217" t="s">
        <v>966</v>
      </c>
      <c r="D217" t="s">
        <v>1226</v>
      </c>
      <c r="E217" t="s">
        <v>1043</v>
      </c>
      <c r="F217" s="12">
        <v>18</v>
      </c>
      <c r="G217" t="s">
        <v>2477</v>
      </c>
    </row>
    <row r="218" spans="1:7">
      <c r="A218" s="6"/>
      <c r="F218" t="e">
        <v>#VALUE!</v>
      </c>
      <c r="G218" t="e">
        <v>#VALUE!</v>
      </c>
    </row>
    <row r="219" spans="1:7">
      <c r="A219" s="6" t="s">
        <v>1227</v>
      </c>
      <c r="B219" t="s">
        <v>965</v>
      </c>
      <c r="C219" t="s">
        <v>966</v>
      </c>
      <c r="D219" t="s">
        <v>1228</v>
      </c>
      <c r="E219" t="s">
        <v>970</v>
      </c>
      <c r="F219" s="12">
        <v>57</v>
      </c>
      <c r="G219" t="s">
        <v>2498</v>
      </c>
    </row>
    <row r="220" spans="1:7">
      <c r="A220" s="6"/>
      <c r="F220" t="e">
        <v>#VALUE!</v>
      </c>
      <c r="G220" t="e">
        <v>#VALUE!</v>
      </c>
    </row>
    <row r="221" spans="1:7">
      <c r="A221" s="6" t="s">
        <v>1229</v>
      </c>
      <c r="B221" t="s">
        <v>965</v>
      </c>
      <c r="C221" t="s">
        <v>966</v>
      </c>
      <c r="D221" t="s">
        <v>1230</v>
      </c>
      <c r="E221" t="s">
        <v>1026</v>
      </c>
      <c r="F221" s="12">
        <v>19</v>
      </c>
      <c r="G221" t="s">
        <v>2483</v>
      </c>
    </row>
    <row r="222" spans="1:7">
      <c r="A222" s="6" t="s">
        <v>1231</v>
      </c>
      <c r="B222" t="s">
        <v>965</v>
      </c>
      <c r="C222" t="s">
        <v>966</v>
      </c>
      <c r="D222" t="s">
        <v>1232</v>
      </c>
      <c r="E222" t="s">
        <v>1020</v>
      </c>
      <c r="F222" s="12">
        <v>48</v>
      </c>
      <c r="G222" t="s">
        <v>2478</v>
      </c>
    </row>
    <row r="223" spans="1:7">
      <c r="A223" s="6"/>
      <c r="F223" t="e">
        <v>#VALUE!</v>
      </c>
      <c r="G223" t="e">
        <v>#VALUE!</v>
      </c>
    </row>
    <row r="224" spans="1:7">
      <c r="A224" s="6" t="s">
        <v>1233</v>
      </c>
      <c r="B224" t="s">
        <v>965</v>
      </c>
      <c r="C224" t="s">
        <v>966</v>
      </c>
      <c r="D224" t="s">
        <v>1234</v>
      </c>
      <c r="E224" t="s">
        <v>976</v>
      </c>
      <c r="F224" s="12">
        <v>36</v>
      </c>
      <c r="G224" t="s">
        <v>2473</v>
      </c>
    </row>
    <row r="225" spans="1:7">
      <c r="A225" s="6" t="s">
        <v>1235</v>
      </c>
      <c r="B225" t="s">
        <v>965</v>
      </c>
      <c r="C225" t="s">
        <v>966</v>
      </c>
      <c r="D225" t="s">
        <v>1236</v>
      </c>
      <c r="E225" t="s">
        <v>973</v>
      </c>
      <c r="F225" s="12">
        <v>37</v>
      </c>
      <c r="G225" t="s">
        <v>2507</v>
      </c>
    </row>
    <row r="226" spans="1:7">
      <c r="A226" s="6" t="s">
        <v>1237</v>
      </c>
      <c r="B226" t="s">
        <v>965</v>
      </c>
      <c r="C226" t="s">
        <v>966</v>
      </c>
      <c r="D226" t="s">
        <v>1238</v>
      </c>
      <c r="E226" t="s">
        <v>976</v>
      </c>
      <c r="F226" s="12">
        <v>38</v>
      </c>
      <c r="G226" t="s">
        <v>2488</v>
      </c>
    </row>
    <row r="227" spans="1:7">
      <c r="A227" s="6" t="s">
        <v>1239</v>
      </c>
      <c r="B227" t="s">
        <v>965</v>
      </c>
      <c r="C227" t="s">
        <v>966</v>
      </c>
      <c r="D227" t="s">
        <v>1240</v>
      </c>
      <c r="E227" t="s">
        <v>973</v>
      </c>
      <c r="F227" s="12">
        <v>56</v>
      </c>
      <c r="G227" t="s">
        <v>2512</v>
      </c>
    </row>
    <row r="228" spans="1:7">
      <c r="A228" s="6" t="s">
        <v>1241</v>
      </c>
      <c r="B228" t="s">
        <v>965</v>
      </c>
      <c r="C228" t="s">
        <v>966</v>
      </c>
      <c r="D228" t="s">
        <v>1242</v>
      </c>
      <c r="E228" t="s">
        <v>968</v>
      </c>
      <c r="F228" s="12">
        <v>36</v>
      </c>
      <c r="G228" t="s">
        <v>2473</v>
      </c>
    </row>
    <row r="229" spans="1:7">
      <c r="A229" s="6"/>
      <c r="F229" t="e">
        <v>#VALUE!</v>
      </c>
      <c r="G229" t="e">
        <v>#VALUE!</v>
      </c>
    </row>
    <row r="230" spans="1:7">
      <c r="A230" s="6" t="s">
        <v>1243</v>
      </c>
      <c r="B230" t="s">
        <v>965</v>
      </c>
      <c r="C230" t="s">
        <v>966</v>
      </c>
      <c r="D230" t="s">
        <v>1244</v>
      </c>
      <c r="E230" t="s">
        <v>976</v>
      </c>
      <c r="F230" s="12">
        <v>39</v>
      </c>
      <c r="G230" t="s">
        <v>2515</v>
      </c>
    </row>
    <row r="231" spans="1:7">
      <c r="A231" s="6" t="s">
        <v>1245</v>
      </c>
      <c r="B231" t="s">
        <v>965</v>
      </c>
      <c r="C231" t="s">
        <v>966</v>
      </c>
      <c r="D231" t="s">
        <v>1246</v>
      </c>
      <c r="E231" t="s">
        <v>973</v>
      </c>
      <c r="F231" s="12">
        <v>30</v>
      </c>
      <c r="G231" t="s">
        <v>2485</v>
      </c>
    </row>
    <row r="232" spans="1:7">
      <c r="A232" s="6" t="s">
        <v>1247</v>
      </c>
      <c r="B232" t="s">
        <v>965</v>
      </c>
      <c r="C232" t="s">
        <v>966</v>
      </c>
      <c r="D232" t="s">
        <v>1248</v>
      </c>
      <c r="E232" t="s">
        <v>976</v>
      </c>
      <c r="F232" s="12">
        <v>35</v>
      </c>
      <c r="G232" t="s">
        <v>2491</v>
      </c>
    </row>
    <row r="233" spans="1:7">
      <c r="A233" s="6"/>
      <c r="F233" t="e">
        <v>#VALUE!</v>
      </c>
      <c r="G233" t="e">
        <v>#VALUE!</v>
      </c>
    </row>
    <row r="234" spans="1:7">
      <c r="A234" s="6" t="s">
        <v>1249</v>
      </c>
      <c r="B234" t="s">
        <v>965</v>
      </c>
      <c r="C234" t="s">
        <v>966</v>
      </c>
      <c r="D234" t="s">
        <v>1250</v>
      </c>
      <c r="E234" t="s">
        <v>1117</v>
      </c>
      <c r="F234" s="12">
        <v>40</v>
      </c>
      <c r="G234" t="s">
        <v>2489</v>
      </c>
    </row>
    <row r="235" spans="1:7">
      <c r="A235" s="6"/>
      <c r="F235" t="e">
        <v>#VALUE!</v>
      </c>
      <c r="G235" t="e">
        <v>#VALUE!</v>
      </c>
    </row>
    <row r="236" spans="1:7">
      <c r="A236" s="6" t="s">
        <v>1251</v>
      </c>
      <c r="B236" t="s">
        <v>965</v>
      </c>
      <c r="C236" t="s">
        <v>966</v>
      </c>
      <c r="D236" t="s">
        <v>1252</v>
      </c>
      <c r="E236" t="s">
        <v>1117</v>
      </c>
      <c r="F236" s="12">
        <v>36</v>
      </c>
      <c r="G236" t="s">
        <v>2473</v>
      </c>
    </row>
    <row r="237" spans="1:7">
      <c r="A237" s="6"/>
      <c r="F237" t="e">
        <v>#VALUE!</v>
      </c>
      <c r="G237" t="e">
        <v>#VALUE!</v>
      </c>
    </row>
    <row r="238" spans="1:7">
      <c r="A238" s="6" t="s">
        <v>1253</v>
      </c>
      <c r="B238" t="s">
        <v>965</v>
      </c>
      <c r="C238" t="s">
        <v>966</v>
      </c>
      <c r="D238" t="s">
        <v>1254</v>
      </c>
      <c r="E238" t="s">
        <v>1128</v>
      </c>
      <c r="F238" s="12">
        <v>33</v>
      </c>
      <c r="G238" t="s">
        <v>2500</v>
      </c>
    </row>
    <row r="239" spans="1:7">
      <c r="A239" s="6"/>
      <c r="F239" t="e">
        <v>#VALUE!</v>
      </c>
      <c r="G239" t="e">
        <v>#VALUE!</v>
      </c>
    </row>
    <row r="240" spans="1:7">
      <c r="A240" s="6" t="s">
        <v>1255</v>
      </c>
      <c r="B240" t="s">
        <v>965</v>
      </c>
      <c r="C240" t="s">
        <v>966</v>
      </c>
      <c r="D240" t="s">
        <v>1256</v>
      </c>
      <c r="E240" t="s">
        <v>1128</v>
      </c>
      <c r="F240" s="12">
        <v>36</v>
      </c>
      <c r="G240" t="s">
        <v>2473</v>
      </c>
    </row>
    <row r="241" spans="1:7">
      <c r="A241" s="6"/>
      <c r="F241" t="e">
        <v>#VALUE!</v>
      </c>
      <c r="G241" t="e">
        <v>#VALUE!</v>
      </c>
    </row>
    <row r="242" spans="1:7">
      <c r="A242" s="6" t="s">
        <v>1257</v>
      </c>
      <c r="B242" t="s">
        <v>965</v>
      </c>
      <c r="C242" t="s">
        <v>966</v>
      </c>
      <c r="D242" t="s">
        <v>1258</v>
      </c>
      <c r="E242" t="s">
        <v>986</v>
      </c>
      <c r="F242" s="12">
        <v>63</v>
      </c>
      <c r="G242" t="s">
        <v>2510</v>
      </c>
    </row>
    <row r="243" spans="1:7">
      <c r="A243" s="6" t="s">
        <v>256</v>
      </c>
      <c r="B243" t="s">
        <v>965</v>
      </c>
      <c r="C243" t="s">
        <v>966</v>
      </c>
      <c r="D243" t="s">
        <v>1259</v>
      </c>
      <c r="E243" t="s">
        <v>986</v>
      </c>
      <c r="F243" s="12">
        <v>32</v>
      </c>
      <c r="G243" t="s">
        <v>2476</v>
      </c>
    </row>
    <row r="244" spans="1:7">
      <c r="A244" s="6" t="s">
        <v>1260</v>
      </c>
      <c r="B244" t="s">
        <v>965</v>
      </c>
      <c r="C244" t="s">
        <v>966</v>
      </c>
      <c r="D244" t="s">
        <v>1261</v>
      </c>
      <c r="E244" t="s">
        <v>1043</v>
      </c>
      <c r="F244" s="12">
        <v>43</v>
      </c>
      <c r="G244" t="s">
        <v>2494</v>
      </c>
    </row>
    <row r="245" spans="1:7">
      <c r="A245" s="6" t="s">
        <v>1262</v>
      </c>
      <c r="B245" t="s">
        <v>965</v>
      </c>
      <c r="C245" t="s">
        <v>966</v>
      </c>
      <c r="D245" t="s">
        <v>1263</v>
      </c>
      <c r="E245" t="s">
        <v>1026</v>
      </c>
      <c r="F245" s="12">
        <v>49</v>
      </c>
      <c r="G245" t="s">
        <v>2493</v>
      </c>
    </row>
    <row r="246" spans="1:7">
      <c r="A246" s="6" t="s">
        <v>260</v>
      </c>
      <c r="B246" t="s">
        <v>965</v>
      </c>
      <c r="C246" t="s">
        <v>966</v>
      </c>
      <c r="D246" t="s">
        <v>1264</v>
      </c>
      <c r="E246" t="s">
        <v>1026</v>
      </c>
      <c r="F246" s="12">
        <v>37</v>
      </c>
      <c r="G246" t="s">
        <v>2507</v>
      </c>
    </row>
    <row r="247" spans="1:7">
      <c r="A247" s="6" t="s">
        <v>1265</v>
      </c>
      <c r="B247" t="s">
        <v>965</v>
      </c>
      <c r="C247" t="s">
        <v>966</v>
      </c>
      <c r="D247" t="s">
        <v>1266</v>
      </c>
      <c r="E247" t="s">
        <v>1267</v>
      </c>
      <c r="F247" s="12">
        <v>47</v>
      </c>
      <c r="G247" t="s">
        <v>2495</v>
      </c>
    </row>
    <row r="248" spans="1:7">
      <c r="A248" s="6" t="s">
        <v>1268</v>
      </c>
      <c r="B248" t="s">
        <v>965</v>
      </c>
      <c r="C248" t="s">
        <v>966</v>
      </c>
      <c r="D248" t="s">
        <v>1269</v>
      </c>
      <c r="E248" t="s">
        <v>1017</v>
      </c>
      <c r="F248" s="12">
        <v>40</v>
      </c>
      <c r="G248" t="s">
        <v>2489</v>
      </c>
    </row>
    <row r="249" spans="1:7">
      <c r="A249" s="6" t="s">
        <v>1270</v>
      </c>
      <c r="B249" t="s">
        <v>965</v>
      </c>
      <c r="C249" t="s">
        <v>966</v>
      </c>
      <c r="D249" t="s">
        <v>1271</v>
      </c>
      <c r="E249" t="s">
        <v>1272</v>
      </c>
      <c r="F249" t="s">
        <v>2436</v>
      </c>
      <c r="G249" t="e">
        <v>#VALUE!</v>
      </c>
    </row>
    <row r="250" spans="1:7">
      <c r="A250" s="6"/>
      <c r="F250" t="e">
        <v>#VALUE!</v>
      </c>
      <c r="G250" t="e">
        <v>#VALUE!</v>
      </c>
    </row>
    <row r="251" spans="1:7">
      <c r="A251" s="6" t="s">
        <v>1273</v>
      </c>
      <c r="B251" t="s">
        <v>965</v>
      </c>
      <c r="C251" t="s">
        <v>966</v>
      </c>
      <c r="D251" t="s">
        <v>1274</v>
      </c>
      <c r="E251" t="s">
        <v>1017</v>
      </c>
      <c r="F251" s="12">
        <v>35</v>
      </c>
      <c r="G251" t="s">
        <v>2491</v>
      </c>
    </row>
    <row r="252" spans="1:7">
      <c r="A252" s="6" t="s">
        <v>1275</v>
      </c>
      <c r="B252" t="s">
        <v>965</v>
      </c>
      <c r="C252" t="s">
        <v>966</v>
      </c>
      <c r="D252" t="s">
        <v>1276</v>
      </c>
      <c r="E252" t="s">
        <v>1272</v>
      </c>
      <c r="F252" t="s">
        <v>2436</v>
      </c>
      <c r="G252" t="e">
        <v>#VALUE!</v>
      </c>
    </row>
    <row r="253" spans="1:7">
      <c r="A253" s="6" t="s">
        <v>1277</v>
      </c>
      <c r="B253" t="s">
        <v>965</v>
      </c>
      <c r="C253" t="s">
        <v>966</v>
      </c>
      <c r="D253" t="s">
        <v>1278</v>
      </c>
      <c r="E253" t="s">
        <v>1026</v>
      </c>
      <c r="F253" s="12">
        <v>35</v>
      </c>
      <c r="G253" t="s">
        <v>2491</v>
      </c>
    </row>
    <row r="254" spans="1:7">
      <c r="A254" s="6" t="s">
        <v>1279</v>
      </c>
      <c r="B254" t="s">
        <v>965</v>
      </c>
      <c r="C254" t="s">
        <v>966</v>
      </c>
      <c r="D254" t="s">
        <v>1280</v>
      </c>
      <c r="E254" t="s">
        <v>1026</v>
      </c>
      <c r="F254" s="12">
        <v>49</v>
      </c>
      <c r="G254" t="s">
        <v>2493</v>
      </c>
    </row>
    <row r="255" spans="1:7">
      <c r="A255" s="6" t="s">
        <v>1281</v>
      </c>
      <c r="B255" t="s">
        <v>965</v>
      </c>
      <c r="C255" t="s">
        <v>966</v>
      </c>
      <c r="D255" t="s">
        <v>1282</v>
      </c>
      <c r="E255" t="s">
        <v>1020</v>
      </c>
      <c r="F255" s="12">
        <v>44</v>
      </c>
      <c r="G255" t="s">
        <v>2475</v>
      </c>
    </row>
    <row r="256" spans="1:7">
      <c r="A256" s="6" t="s">
        <v>1283</v>
      </c>
      <c r="B256" t="s">
        <v>965</v>
      </c>
      <c r="C256" t="s">
        <v>966</v>
      </c>
      <c r="D256" t="s">
        <v>1284</v>
      </c>
      <c r="E256" t="s">
        <v>1272</v>
      </c>
      <c r="F256" t="s">
        <v>2436</v>
      </c>
      <c r="G256" t="e">
        <v>#VALUE!</v>
      </c>
    </row>
    <row r="257" spans="1:7">
      <c r="A257" s="6" t="s">
        <v>1285</v>
      </c>
      <c r="B257" t="s">
        <v>965</v>
      </c>
      <c r="C257" t="s">
        <v>966</v>
      </c>
      <c r="D257" t="s">
        <v>1286</v>
      </c>
      <c r="E257" t="s">
        <v>1043</v>
      </c>
      <c r="F257" s="12">
        <v>38</v>
      </c>
      <c r="G257" t="s">
        <v>2488</v>
      </c>
    </row>
    <row r="258" spans="1:7">
      <c r="A258" s="6"/>
      <c r="F258" t="e">
        <v>#VALUE!</v>
      </c>
      <c r="G258" t="e">
        <v>#VALUE!</v>
      </c>
    </row>
    <row r="259" spans="1:7">
      <c r="A259" s="6" t="s">
        <v>1287</v>
      </c>
      <c r="B259" t="s">
        <v>965</v>
      </c>
      <c r="C259" t="s">
        <v>966</v>
      </c>
      <c r="D259" t="s">
        <v>1288</v>
      </c>
      <c r="E259" t="s">
        <v>970</v>
      </c>
      <c r="F259" s="12">
        <v>58</v>
      </c>
      <c r="G259" t="s">
        <v>2518</v>
      </c>
    </row>
    <row r="260" spans="1:7">
      <c r="A260" s="6" t="s">
        <v>1289</v>
      </c>
      <c r="B260" t="s">
        <v>965</v>
      </c>
      <c r="C260" t="s">
        <v>966</v>
      </c>
      <c r="D260" t="s">
        <v>1290</v>
      </c>
      <c r="E260" t="s">
        <v>970</v>
      </c>
      <c r="F260" s="12">
        <v>29</v>
      </c>
      <c r="G260" t="s">
        <v>2503</v>
      </c>
    </row>
    <row r="261" spans="1:7">
      <c r="A261" s="6"/>
      <c r="F261" t="e">
        <v>#VALUE!</v>
      </c>
      <c r="G261" t="e">
        <v>#VALUE!</v>
      </c>
    </row>
    <row r="262" spans="1:7">
      <c r="A262" s="6" t="s">
        <v>1291</v>
      </c>
      <c r="B262" t="s">
        <v>965</v>
      </c>
      <c r="C262" t="s">
        <v>966</v>
      </c>
      <c r="D262" t="s">
        <v>1292</v>
      </c>
      <c r="E262" t="s">
        <v>970</v>
      </c>
      <c r="F262" s="12">
        <v>26</v>
      </c>
      <c r="G262" t="s">
        <v>2497</v>
      </c>
    </row>
    <row r="263" spans="1:7">
      <c r="A263" s="6" t="s">
        <v>1293</v>
      </c>
      <c r="B263" t="s">
        <v>965</v>
      </c>
      <c r="C263" t="s">
        <v>966</v>
      </c>
      <c r="D263" t="s">
        <v>1294</v>
      </c>
      <c r="E263" t="s">
        <v>970</v>
      </c>
      <c r="F263" s="12">
        <v>56</v>
      </c>
      <c r="G263" t="s">
        <v>2512</v>
      </c>
    </row>
    <row r="264" spans="1:7">
      <c r="A264" s="6" t="s">
        <v>1295</v>
      </c>
      <c r="B264" t="s">
        <v>965</v>
      </c>
      <c r="C264" t="s">
        <v>966</v>
      </c>
      <c r="D264" t="s">
        <v>1296</v>
      </c>
      <c r="E264" t="s">
        <v>970</v>
      </c>
      <c r="F264" s="12">
        <v>20</v>
      </c>
      <c r="G264" t="s">
        <v>2481</v>
      </c>
    </row>
    <row r="265" spans="1:7">
      <c r="A265" s="6"/>
      <c r="F265" t="e">
        <v>#VALUE!</v>
      </c>
      <c r="G265" t="e">
        <v>#VALUE!</v>
      </c>
    </row>
    <row r="266" spans="1:7">
      <c r="A266" s="6" t="s">
        <v>1297</v>
      </c>
      <c r="B266" t="s">
        <v>965</v>
      </c>
      <c r="C266" t="s">
        <v>966</v>
      </c>
      <c r="D266" t="s">
        <v>1298</v>
      </c>
      <c r="E266" t="s">
        <v>1299</v>
      </c>
      <c r="F266" s="12">
        <v>27</v>
      </c>
      <c r="G266" t="s">
        <v>2509</v>
      </c>
    </row>
    <row r="267" spans="1:7">
      <c r="A267" s="6" t="s">
        <v>1300</v>
      </c>
      <c r="B267" t="s">
        <v>965</v>
      </c>
      <c r="C267" t="s">
        <v>966</v>
      </c>
      <c r="D267" t="s">
        <v>1301</v>
      </c>
      <c r="E267" t="s">
        <v>1299</v>
      </c>
      <c r="F267" s="12">
        <v>72</v>
      </c>
      <c r="G267" t="s">
        <v>2519</v>
      </c>
    </row>
    <row r="268" spans="1:7">
      <c r="A268" s="6" t="s">
        <v>1302</v>
      </c>
      <c r="B268" t="s">
        <v>965</v>
      </c>
      <c r="C268" t="s">
        <v>966</v>
      </c>
      <c r="D268" t="s">
        <v>1303</v>
      </c>
      <c r="E268" t="s">
        <v>1052</v>
      </c>
      <c r="F268" s="12">
        <v>40</v>
      </c>
      <c r="G268" t="s">
        <v>2489</v>
      </c>
    </row>
    <row r="269" spans="1:7">
      <c r="A269" s="6" t="s">
        <v>1304</v>
      </c>
      <c r="B269" t="s">
        <v>965</v>
      </c>
      <c r="C269" t="s">
        <v>966</v>
      </c>
      <c r="D269" t="s">
        <v>1305</v>
      </c>
      <c r="E269" t="s">
        <v>1052</v>
      </c>
      <c r="F269" s="12">
        <v>28</v>
      </c>
      <c r="G269" t="s">
        <v>2487</v>
      </c>
    </row>
    <row r="270" spans="1:7">
      <c r="A270" s="6" t="s">
        <v>1306</v>
      </c>
      <c r="B270" t="s">
        <v>965</v>
      </c>
      <c r="C270" t="s">
        <v>966</v>
      </c>
      <c r="D270" t="s">
        <v>1307</v>
      </c>
      <c r="E270" t="s">
        <v>1299</v>
      </c>
      <c r="F270" s="12">
        <v>52</v>
      </c>
      <c r="G270" t="s">
        <v>2499</v>
      </c>
    </row>
    <row r="271" spans="1:7">
      <c r="A271" s="6" t="s">
        <v>1308</v>
      </c>
      <c r="B271" t="s">
        <v>965</v>
      </c>
      <c r="C271" t="s">
        <v>966</v>
      </c>
      <c r="D271" t="s">
        <v>1309</v>
      </c>
      <c r="E271" t="s">
        <v>1052</v>
      </c>
      <c r="F271" s="12">
        <v>26</v>
      </c>
      <c r="G271" t="s">
        <v>2497</v>
      </c>
    </row>
    <row r="272" spans="1:7">
      <c r="A272" s="6" t="s">
        <v>1310</v>
      </c>
      <c r="B272" t="s">
        <v>965</v>
      </c>
      <c r="C272" t="s">
        <v>966</v>
      </c>
      <c r="D272" t="s">
        <v>1311</v>
      </c>
      <c r="E272" t="s">
        <v>1052</v>
      </c>
      <c r="F272" s="12">
        <v>37</v>
      </c>
      <c r="G272" t="s">
        <v>2507</v>
      </c>
    </row>
    <row r="273" spans="1:7">
      <c r="A273" s="6" t="s">
        <v>1312</v>
      </c>
      <c r="B273" t="s">
        <v>965</v>
      </c>
      <c r="C273" t="s">
        <v>966</v>
      </c>
      <c r="D273" t="s">
        <v>1313</v>
      </c>
      <c r="E273" t="s">
        <v>1052</v>
      </c>
      <c r="F273" s="12">
        <v>55</v>
      </c>
      <c r="G273" t="s">
        <v>2492</v>
      </c>
    </row>
    <row r="274" spans="1:7">
      <c r="A274" s="6" t="s">
        <v>1314</v>
      </c>
      <c r="B274" t="s">
        <v>965</v>
      </c>
      <c r="C274" t="s">
        <v>966</v>
      </c>
      <c r="D274" t="s">
        <v>1315</v>
      </c>
      <c r="E274" t="s">
        <v>1043</v>
      </c>
      <c r="F274" s="12">
        <v>25</v>
      </c>
      <c r="G274" t="s">
        <v>2513</v>
      </c>
    </row>
    <row r="275" spans="1:7">
      <c r="A275" s="6"/>
      <c r="F275" t="e">
        <v>#VALUE!</v>
      </c>
      <c r="G275" t="e">
        <v>#VALUE!</v>
      </c>
    </row>
    <row r="276" spans="1:7">
      <c r="A276" s="6" t="s">
        <v>1316</v>
      </c>
      <c r="B276" t="s">
        <v>965</v>
      </c>
      <c r="C276" t="s">
        <v>966</v>
      </c>
      <c r="D276" t="s">
        <v>1317</v>
      </c>
      <c r="E276" t="s">
        <v>1052</v>
      </c>
      <c r="F276" s="12">
        <v>38</v>
      </c>
      <c r="G276" t="s">
        <v>2488</v>
      </c>
    </row>
    <row r="277" spans="1:7">
      <c r="A277" s="6" t="s">
        <v>1318</v>
      </c>
      <c r="B277" t="s">
        <v>965</v>
      </c>
      <c r="C277" t="s">
        <v>966</v>
      </c>
      <c r="D277" t="s">
        <v>1319</v>
      </c>
      <c r="E277" t="s">
        <v>1299</v>
      </c>
      <c r="F277" s="12">
        <v>21</v>
      </c>
      <c r="G277" t="s">
        <v>2516</v>
      </c>
    </row>
    <row r="278" spans="1:7">
      <c r="A278" s="6" t="s">
        <v>1320</v>
      </c>
      <c r="B278" t="s">
        <v>965</v>
      </c>
      <c r="C278" t="s">
        <v>966</v>
      </c>
      <c r="D278" t="s">
        <v>1321</v>
      </c>
      <c r="E278" t="s">
        <v>1299</v>
      </c>
      <c r="F278" s="12">
        <v>37</v>
      </c>
      <c r="G278" t="s">
        <v>2507</v>
      </c>
    </row>
    <row r="279" spans="1:7">
      <c r="A279" s="6" t="s">
        <v>1322</v>
      </c>
      <c r="B279" t="s">
        <v>965</v>
      </c>
      <c r="C279" t="s">
        <v>966</v>
      </c>
      <c r="D279" t="s">
        <v>1323</v>
      </c>
      <c r="E279" t="s">
        <v>1299</v>
      </c>
      <c r="F279" s="12">
        <v>57</v>
      </c>
      <c r="G279" t="s">
        <v>2498</v>
      </c>
    </row>
    <row r="280" spans="1:7">
      <c r="A280" s="6" t="s">
        <v>1324</v>
      </c>
      <c r="B280" t="s">
        <v>965</v>
      </c>
      <c r="C280" t="s">
        <v>966</v>
      </c>
      <c r="D280" t="s">
        <v>1325</v>
      </c>
      <c r="E280" t="s">
        <v>1052</v>
      </c>
      <c r="F280" s="12">
        <v>27</v>
      </c>
      <c r="G280" t="s">
        <v>2509</v>
      </c>
    </row>
    <row r="281" spans="1:7">
      <c r="A281" s="6" t="s">
        <v>1326</v>
      </c>
      <c r="B281" t="s">
        <v>965</v>
      </c>
      <c r="C281" t="s">
        <v>966</v>
      </c>
      <c r="D281" t="s">
        <v>1327</v>
      </c>
      <c r="E281" t="s">
        <v>1299</v>
      </c>
      <c r="F281" s="12">
        <v>52</v>
      </c>
      <c r="G281" t="s">
        <v>2499</v>
      </c>
    </row>
    <row r="282" spans="1:7">
      <c r="A282" s="6" t="s">
        <v>1328</v>
      </c>
      <c r="B282" t="s">
        <v>965</v>
      </c>
      <c r="C282" t="s">
        <v>966</v>
      </c>
      <c r="D282" t="s">
        <v>1329</v>
      </c>
      <c r="E282" t="s">
        <v>1052</v>
      </c>
      <c r="F282" s="12">
        <v>23</v>
      </c>
      <c r="G282" t="s">
        <v>2520</v>
      </c>
    </row>
    <row r="283" spans="1:7">
      <c r="A283" s="6"/>
      <c r="F283" t="e">
        <v>#VALUE!</v>
      </c>
      <c r="G283" t="e">
        <v>#VALUE!</v>
      </c>
    </row>
    <row r="284" spans="1:7">
      <c r="A284" s="6" t="s">
        <v>280</v>
      </c>
      <c r="B284" t="s">
        <v>965</v>
      </c>
      <c r="C284" t="s">
        <v>966</v>
      </c>
      <c r="D284" t="s">
        <v>1330</v>
      </c>
      <c r="E284" t="s">
        <v>1267</v>
      </c>
      <c r="F284" s="12">
        <v>45</v>
      </c>
      <c r="G284" t="s">
        <v>2470</v>
      </c>
    </row>
    <row r="285" spans="1:7">
      <c r="A285" s="6" t="s">
        <v>282</v>
      </c>
      <c r="B285" t="s">
        <v>965</v>
      </c>
      <c r="C285" t="s">
        <v>966</v>
      </c>
      <c r="D285" t="s">
        <v>1331</v>
      </c>
      <c r="E285" t="s">
        <v>1020</v>
      </c>
      <c r="F285" s="12">
        <v>52</v>
      </c>
      <c r="G285" t="s">
        <v>2499</v>
      </c>
    </row>
    <row r="286" spans="1:7">
      <c r="A286" s="6"/>
      <c r="F286" t="e">
        <v>#VALUE!</v>
      </c>
      <c r="G286" t="e">
        <v>#VALUE!</v>
      </c>
    </row>
    <row r="287" spans="1:7">
      <c r="A287" s="6" t="s">
        <v>1332</v>
      </c>
      <c r="B287" t="s">
        <v>965</v>
      </c>
      <c r="C287" t="s">
        <v>966</v>
      </c>
      <c r="D287" t="s">
        <v>1333</v>
      </c>
      <c r="E287" t="s">
        <v>1009</v>
      </c>
      <c r="F287" s="12">
        <v>23</v>
      </c>
      <c r="G287" t="s">
        <v>2520</v>
      </c>
    </row>
    <row r="288" spans="1:7">
      <c r="A288" s="6"/>
      <c r="F288" t="e">
        <v>#VALUE!</v>
      </c>
      <c r="G288" t="e">
        <v>#VALUE!</v>
      </c>
    </row>
    <row r="289" spans="1:7">
      <c r="A289" s="6" t="s">
        <v>1334</v>
      </c>
      <c r="B289" t="s">
        <v>965</v>
      </c>
      <c r="C289" t="s">
        <v>966</v>
      </c>
      <c r="D289" t="s">
        <v>1335</v>
      </c>
      <c r="E289" t="s">
        <v>1272</v>
      </c>
      <c r="F289" t="s">
        <v>2436</v>
      </c>
      <c r="G289" t="e">
        <v>#VALUE!</v>
      </c>
    </row>
    <row r="290" spans="1:7">
      <c r="A290" s="6"/>
      <c r="F290" t="e">
        <v>#VALUE!</v>
      </c>
      <c r="G290" t="e">
        <v>#VALUE!</v>
      </c>
    </row>
    <row r="291" spans="1:7">
      <c r="A291" s="6" t="s">
        <v>1336</v>
      </c>
      <c r="B291" t="s">
        <v>965</v>
      </c>
      <c r="C291" t="s">
        <v>966</v>
      </c>
      <c r="D291" t="s">
        <v>1337</v>
      </c>
      <c r="E291" t="s">
        <v>1117</v>
      </c>
      <c r="F291" s="12">
        <v>50</v>
      </c>
      <c r="G291" t="s">
        <v>2490</v>
      </c>
    </row>
    <row r="292" spans="1:7">
      <c r="A292" s="6"/>
      <c r="F292" t="e">
        <v>#VALUE!</v>
      </c>
      <c r="G292" t="e">
        <v>#VALUE!</v>
      </c>
    </row>
    <row r="293" spans="1:7">
      <c r="A293" s="6" t="s">
        <v>1338</v>
      </c>
      <c r="B293" t="s">
        <v>965</v>
      </c>
      <c r="C293" t="s">
        <v>966</v>
      </c>
      <c r="D293" t="s">
        <v>1339</v>
      </c>
      <c r="E293" t="s">
        <v>1117</v>
      </c>
      <c r="F293" s="12">
        <v>43</v>
      </c>
      <c r="G293" t="s">
        <v>2494</v>
      </c>
    </row>
    <row r="294" spans="1:7">
      <c r="A294" s="6"/>
      <c r="F294" t="e">
        <v>#VALUE!</v>
      </c>
      <c r="G294" t="e">
        <v>#VALUE!</v>
      </c>
    </row>
    <row r="295" spans="1:7">
      <c r="A295" s="6" t="s">
        <v>1340</v>
      </c>
      <c r="B295" t="s">
        <v>965</v>
      </c>
      <c r="C295" t="s">
        <v>966</v>
      </c>
      <c r="D295" t="s">
        <v>1341</v>
      </c>
      <c r="E295" t="s">
        <v>1117</v>
      </c>
      <c r="F295" s="12">
        <v>33</v>
      </c>
      <c r="G295" t="s">
        <v>2500</v>
      </c>
    </row>
    <row r="296" spans="1:7">
      <c r="A296" s="6"/>
      <c r="F296" t="e">
        <v>#VALUE!</v>
      </c>
      <c r="G296" t="e">
        <v>#VALUE!</v>
      </c>
    </row>
    <row r="297" spans="1:7">
      <c r="A297" s="6" t="s">
        <v>1342</v>
      </c>
      <c r="B297" t="s">
        <v>965</v>
      </c>
      <c r="C297" t="s">
        <v>966</v>
      </c>
      <c r="D297" t="s">
        <v>1343</v>
      </c>
      <c r="E297" t="s">
        <v>1022</v>
      </c>
      <c r="F297" s="12">
        <v>26</v>
      </c>
      <c r="G297" t="s">
        <v>2497</v>
      </c>
    </row>
    <row r="298" spans="1:7">
      <c r="A298" s="6"/>
      <c r="F298" t="e">
        <v>#VALUE!</v>
      </c>
      <c r="G298" t="e">
        <v>#VALUE!</v>
      </c>
    </row>
    <row r="299" spans="1:7">
      <c r="A299" s="6" t="s">
        <v>1344</v>
      </c>
      <c r="B299" t="s">
        <v>965</v>
      </c>
      <c r="C299" t="s">
        <v>966</v>
      </c>
      <c r="D299" t="s">
        <v>1345</v>
      </c>
      <c r="E299" t="s">
        <v>1022</v>
      </c>
      <c r="F299" s="12">
        <v>23</v>
      </c>
      <c r="G299" t="s">
        <v>2520</v>
      </c>
    </row>
    <row r="300" spans="1:7">
      <c r="A300" s="6" t="s">
        <v>1346</v>
      </c>
      <c r="B300" t="s">
        <v>965</v>
      </c>
      <c r="C300" t="s">
        <v>966</v>
      </c>
      <c r="D300" t="s">
        <v>1347</v>
      </c>
      <c r="E300" t="s">
        <v>1022</v>
      </c>
      <c r="F300" s="12">
        <v>50</v>
      </c>
      <c r="G300" t="s">
        <v>2490</v>
      </c>
    </row>
    <row r="301" spans="1:7">
      <c r="A301" s="6"/>
      <c r="F301" t="e">
        <v>#VALUE!</v>
      </c>
      <c r="G301" t="e">
        <v>#VALUE!</v>
      </c>
    </row>
    <row r="302" spans="1:7">
      <c r="A302" s="6" t="s">
        <v>1348</v>
      </c>
      <c r="B302" t="s">
        <v>965</v>
      </c>
      <c r="C302" t="s">
        <v>966</v>
      </c>
      <c r="D302" t="s">
        <v>1349</v>
      </c>
      <c r="E302" t="s">
        <v>1031</v>
      </c>
      <c r="F302" s="12">
        <v>19</v>
      </c>
      <c r="G302" t="s">
        <v>2483</v>
      </c>
    </row>
    <row r="303" spans="1:7">
      <c r="A303" s="6" t="s">
        <v>1350</v>
      </c>
      <c r="B303" t="s">
        <v>965</v>
      </c>
      <c r="C303" t="s">
        <v>966</v>
      </c>
      <c r="D303" t="s">
        <v>1351</v>
      </c>
      <c r="E303" t="s">
        <v>1031</v>
      </c>
      <c r="F303" s="12">
        <v>58</v>
      </c>
      <c r="G303" t="s">
        <v>2518</v>
      </c>
    </row>
    <row r="304" spans="1:7">
      <c r="A304" s="6" t="s">
        <v>1352</v>
      </c>
      <c r="B304" t="s">
        <v>965</v>
      </c>
      <c r="C304" t="s">
        <v>966</v>
      </c>
      <c r="D304" t="s">
        <v>1353</v>
      </c>
      <c r="E304" t="s">
        <v>1354</v>
      </c>
      <c r="F304" s="12">
        <v>37</v>
      </c>
      <c r="G304" t="s">
        <v>2507</v>
      </c>
    </row>
    <row r="305" spans="1:7">
      <c r="A305" s="6" t="s">
        <v>1355</v>
      </c>
      <c r="B305" t="s">
        <v>965</v>
      </c>
      <c r="C305" t="s">
        <v>966</v>
      </c>
      <c r="D305" t="s">
        <v>1356</v>
      </c>
      <c r="E305" t="s">
        <v>968</v>
      </c>
      <c r="F305" s="12">
        <v>49</v>
      </c>
      <c r="G305" t="s">
        <v>2493</v>
      </c>
    </row>
    <row r="306" spans="1:7">
      <c r="A306" s="6" t="s">
        <v>1357</v>
      </c>
      <c r="B306" t="s">
        <v>965</v>
      </c>
      <c r="C306" t="s">
        <v>966</v>
      </c>
      <c r="D306" t="s">
        <v>1358</v>
      </c>
      <c r="E306" t="s">
        <v>968</v>
      </c>
      <c r="F306" t="s">
        <v>2436</v>
      </c>
      <c r="G306" t="e">
        <v>#VALUE!</v>
      </c>
    </row>
    <row r="307" spans="1:7">
      <c r="A307" s="6" t="s">
        <v>1359</v>
      </c>
      <c r="B307" t="s">
        <v>965</v>
      </c>
      <c r="C307" t="s">
        <v>966</v>
      </c>
      <c r="D307" t="s">
        <v>1360</v>
      </c>
      <c r="E307" t="s">
        <v>968</v>
      </c>
      <c r="F307" s="12">
        <v>70</v>
      </c>
      <c r="G307" t="s">
        <v>2471</v>
      </c>
    </row>
    <row r="308" spans="1:7">
      <c r="A308" s="6"/>
      <c r="F308" t="e">
        <v>#VALUE!</v>
      </c>
      <c r="G308" t="e">
        <v>#VALUE!</v>
      </c>
    </row>
    <row r="309" spans="1:7">
      <c r="A309" s="6" t="s">
        <v>1361</v>
      </c>
      <c r="B309" t="s">
        <v>965</v>
      </c>
      <c r="C309" t="s">
        <v>966</v>
      </c>
      <c r="D309" t="s">
        <v>1362</v>
      </c>
      <c r="E309" t="s">
        <v>1354</v>
      </c>
      <c r="F309" s="12">
        <v>35</v>
      </c>
      <c r="G309" t="s">
        <v>2491</v>
      </c>
    </row>
    <row r="310" spans="1:7">
      <c r="A310" s="6" t="s">
        <v>1363</v>
      </c>
      <c r="B310" t="s">
        <v>965</v>
      </c>
      <c r="C310" t="s">
        <v>966</v>
      </c>
      <c r="D310" t="s">
        <v>1364</v>
      </c>
      <c r="E310" t="s">
        <v>1031</v>
      </c>
      <c r="F310" s="12">
        <v>51</v>
      </c>
      <c r="G310" t="s">
        <v>2508</v>
      </c>
    </row>
    <row r="311" spans="1:7">
      <c r="A311" s="6"/>
      <c r="F311" t="e">
        <v>#VALUE!</v>
      </c>
      <c r="G311" t="e">
        <v>#VALUE!</v>
      </c>
    </row>
    <row r="312" spans="1:7">
      <c r="A312" s="6" t="s">
        <v>1365</v>
      </c>
      <c r="B312" t="s">
        <v>965</v>
      </c>
      <c r="C312" t="s">
        <v>966</v>
      </c>
      <c r="D312" t="s">
        <v>1366</v>
      </c>
      <c r="E312" t="s">
        <v>1020</v>
      </c>
      <c r="F312" s="12">
        <v>32</v>
      </c>
      <c r="G312" t="s">
        <v>2476</v>
      </c>
    </row>
    <row r="313" spans="1:7">
      <c r="A313" s="6" t="s">
        <v>1367</v>
      </c>
      <c r="B313" t="s">
        <v>965</v>
      </c>
      <c r="C313" t="s">
        <v>966</v>
      </c>
      <c r="D313" t="s">
        <v>1368</v>
      </c>
      <c r="E313" t="s">
        <v>1017</v>
      </c>
      <c r="F313" s="12">
        <v>40</v>
      </c>
      <c r="G313" t="s">
        <v>2489</v>
      </c>
    </row>
    <row r="314" spans="1:7">
      <c r="A314" s="6" t="s">
        <v>297</v>
      </c>
      <c r="B314" t="s">
        <v>965</v>
      </c>
      <c r="C314" t="s">
        <v>966</v>
      </c>
      <c r="D314" t="s">
        <v>1369</v>
      </c>
      <c r="E314" t="s">
        <v>1370</v>
      </c>
      <c r="F314" s="12">
        <v>51</v>
      </c>
      <c r="G314" t="s">
        <v>2508</v>
      </c>
    </row>
    <row r="315" spans="1:7">
      <c r="A315" s="6" t="s">
        <v>1371</v>
      </c>
      <c r="B315" t="s">
        <v>965</v>
      </c>
      <c r="C315" t="s">
        <v>966</v>
      </c>
      <c r="D315" t="s">
        <v>1372</v>
      </c>
      <c r="E315" t="s">
        <v>1020</v>
      </c>
      <c r="F315" s="12">
        <v>63</v>
      </c>
      <c r="G315" t="s">
        <v>2510</v>
      </c>
    </row>
    <row r="316" spans="1:7">
      <c r="A316" s="6" t="s">
        <v>1373</v>
      </c>
      <c r="B316" t="s">
        <v>965</v>
      </c>
      <c r="C316" t="s">
        <v>966</v>
      </c>
      <c r="D316" t="s">
        <v>1374</v>
      </c>
      <c r="E316" t="s">
        <v>1020</v>
      </c>
      <c r="F316" s="12">
        <v>26</v>
      </c>
      <c r="G316" t="s">
        <v>2497</v>
      </c>
    </row>
    <row r="317" spans="1:7">
      <c r="A317" s="6" t="s">
        <v>1375</v>
      </c>
      <c r="B317" t="s">
        <v>965</v>
      </c>
      <c r="C317" t="s">
        <v>966</v>
      </c>
      <c r="D317" t="s">
        <v>1376</v>
      </c>
      <c r="E317" t="s">
        <v>1043</v>
      </c>
      <c r="F317" s="12">
        <v>35</v>
      </c>
      <c r="G317" t="s">
        <v>2491</v>
      </c>
    </row>
    <row r="318" spans="1:7">
      <c r="A318" s="6" t="s">
        <v>1377</v>
      </c>
      <c r="B318" t="s">
        <v>965</v>
      </c>
      <c r="C318" t="s">
        <v>966</v>
      </c>
      <c r="D318" t="s">
        <v>1378</v>
      </c>
      <c r="E318" t="s">
        <v>986</v>
      </c>
      <c r="F318" s="12">
        <v>26</v>
      </c>
      <c r="G318" t="s">
        <v>2497</v>
      </c>
    </row>
    <row r="319" spans="1:7">
      <c r="A319" s="6"/>
      <c r="F319" t="e">
        <v>#VALUE!</v>
      </c>
      <c r="G319" t="e">
        <v>#VALUE!</v>
      </c>
    </row>
    <row r="320" spans="1:7">
      <c r="A320" s="6" t="s">
        <v>1379</v>
      </c>
      <c r="B320" t="s">
        <v>965</v>
      </c>
      <c r="C320" t="s">
        <v>966</v>
      </c>
      <c r="D320" t="s">
        <v>1380</v>
      </c>
      <c r="E320" t="s">
        <v>1370</v>
      </c>
      <c r="F320" s="12">
        <v>35</v>
      </c>
      <c r="G320" t="s">
        <v>2491</v>
      </c>
    </row>
    <row r="321" spans="1:7">
      <c r="A321" s="6" t="s">
        <v>1381</v>
      </c>
      <c r="B321" t="s">
        <v>965</v>
      </c>
      <c r="C321" t="s">
        <v>966</v>
      </c>
      <c r="D321" t="s">
        <v>1382</v>
      </c>
      <c r="E321" t="s">
        <v>1020</v>
      </c>
      <c r="F321" s="12">
        <v>23</v>
      </c>
      <c r="G321" t="s">
        <v>2520</v>
      </c>
    </row>
    <row r="322" spans="1:7">
      <c r="A322" s="6" t="s">
        <v>1383</v>
      </c>
      <c r="B322" t="s">
        <v>965</v>
      </c>
      <c r="C322" t="s">
        <v>966</v>
      </c>
      <c r="D322" t="s">
        <v>1384</v>
      </c>
      <c r="E322" t="s">
        <v>1020</v>
      </c>
      <c r="F322" s="12">
        <v>63</v>
      </c>
      <c r="G322" t="s">
        <v>2510</v>
      </c>
    </row>
    <row r="323" spans="1:7">
      <c r="A323" s="6" t="s">
        <v>1385</v>
      </c>
      <c r="B323" t="s">
        <v>965</v>
      </c>
      <c r="C323" t="s">
        <v>966</v>
      </c>
      <c r="D323" t="s">
        <v>1386</v>
      </c>
      <c r="E323" t="s">
        <v>1020</v>
      </c>
      <c r="F323" s="12">
        <v>20</v>
      </c>
      <c r="G323" t="s">
        <v>2481</v>
      </c>
    </row>
    <row r="324" spans="1:7">
      <c r="A324" s="6" t="s">
        <v>1387</v>
      </c>
      <c r="B324" t="s">
        <v>965</v>
      </c>
      <c r="C324" t="s">
        <v>966</v>
      </c>
      <c r="D324" t="s">
        <v>1388</v>
      </c>
      <c r="E324" t="s">
        <v>1017</v>
      </c>
      <c r="F324" s="12">
        <v>41</v>
      </c>
      <c r="G324" t="s">
        <v>2517</v>
      </c>
    </row>
    <row r="325" spans="1:7">
      <c r="A325" s="6" t="s">
        <v>1389</v>
      </c>
      <c r="B325" t="s">
        <v>965</v>
      </c>
      <c r="C325" t="s">
        <v>966</v>
      </c>
      <c r="D325" t="s">
        <v>1390</v>
      </c>
      <c r="E325" t="s">
        <v>1043</v>
      </c>
      <c r="F325" s="12">
        <v>34</v>
      </c>
      <c r="G325" t="s">
        <v>2496</v>
      </c>
    </row>
    <row r="326" spans="1:7">
      <c r="A326" s="6"/>
      <c r="F326" t="e">
        <v>#VALUE!</v>
      </c>
      <c r="G326" t="e">
        <v>#VALUE!</v>
      </c>
    </row>
    <row r="327" spans="1:7">
      <c r="A327" s="6" t="s">
        <v>1391</v>
      </c>
      <c r="B327" t="s">
        <v>965</v>
      </c>
      <c r="C327" t="s">
        <v>966</v>
      </c>
      <c r="D327" t="s">
        <v>1392</v>
      </c>
      <c r="E327" t="s">
        <v>968</v>
      </c>
      <c r="F327" s="12">
        <v>44</v>
      </c>
      <c r="G327" t="s">
        <v>2475</v>
      </c>
    </row>
    <row r="328" spans="1:7">
      <c r="A328" s="6"/>
      <c r="F328" t="e">
        <v>#VALUE!</v>
      </c>
      <c r="G328" t="e">
        <v>#VALUE!</v>
      </c>
    </row>
    <row r="329" spans="1:7">
      <c r="A329" s="6" t="s">
        <v>1393</v>
      </c>
      <c r="B329" t="s">
        <v>965</v>
      </c>
      <c r="C329" t="s">
        <v>966</v>
      </c>
      <c r="D329" t="s">
        <v>1394</v>
      </c>
      <c r="E329" t="s">
        <v>1009</v>
      </c>
      <c r="F329" s="12">
        <v>35</v>
      </c>
      <c r="G329" t="s">
        <v>2491</v>
      </c>
    </row>
    <row r="330" spans="1:7">
      <c r="A330" s="6"/>
      <c r="F330" t="e">
        <v>#VALUE!</v>
      </c>
      <c r="G330" t="e">
        <v>#VALUE!</v>
      </c>
    </row>
    <row r="331" spans="1:7">
      <c r="A331" s="6" t="s">
        <v>1395</v>
      </c>
      <c r="B331" t="s">
        <v>965</v>
      </c>
      <c r="C331" t="s">
        <v>966</v>
      </c>
      <c r="D331" t="s">
        <v>1396</v>
      </c>
      <c r="E331" t="s">
        <v>1267</v>
      </c>
      <c r="F331" s="12">
        <v>61</v>
      </c>
      <c r="G331" t="s">
        <v>2521</v>
      </c>
    </row>
    <row r="332" spans="1:7">
      <c r="A332" s="6"/>
      <c r="F332" t="e">
        <v>#VALUE!</v>
      </c>
      <c r="G332" t="e">
        <v>#VALUE!</v>
      </c>
    </row>
    <row r="333" spans="1:7">
      <c r="A333" s="6" t="s">
        <v>1397</v>
      </c>
      <c r="B333" t="s">
        <v>965</v>
      </c>
      <c r="C333" t="s">
        <v>966</v>
      </c>
      <c r="D333" t="s">
        <v>1398</v>
      </c>
      <c r="E333" t="s">
        <v>1117</v>
      </c>
      <c r="F333" s="12">
        <v>45</v>
      </c>
      <c r="G333" t="s">
        <v>2470</v>
      </c>
    </row>
    <row r="334" spans="1:7">
      <c r="A334" s="6"/>
      <c r="F334" t="e">
        <v>#VALUE!</v>
      </c>
      <c r="G334" t="e">
        <v>#VALUE!</v>
      </c>
    </row>
    <row r="335" spans="1:7">
      <c r="A335" s="6" t="s">
        <v>1399</v>
      </c>
      <c r="B335" t="s">
        <v>965</v>
      </c>
      <c r="C335" t="s">
        <v>966</v>
      </c>
      <c r="D335" t="s">
        <v>1400</v>
      </c>
      <c r="E335" t="s">
        <v>1005</v>
      </c>
      <c r="F335" s="12">
        <v>64</v>
      </c>
      <c r="G335" t="s">
        <v>2511</v>
      </c>
    </row>
    <row r="336" spans="1:7">
      <c r="A336" s="6" t="s">
        <v>1401</v>
      </c>
      <c r="B336" t="s">
        <v>965</v>
      </c>
      <c r="C336" t="s">
        <v>966</v>
      </c>
      <c r="D336" t="s">
        <v>1402</v>
      </c>
      <c r="E336" t="s">
        <v>1267</v>
      </c>
      <c r="F336" s="12">
        <v>35</v>
      </c>
      <c r="G336" t="s">
        <v>2491</v>
      </c>
    </row>
    <row r="337" spans="1:7">
      <c r="A337" s="6"/>
      <c r="F337" t="e">
        <v>#VALUE!</v>
      </c>
      <c r="G337" t="e">
        <v>#VALUE!</v>
      </c>
    </row>
    <row r="338" spans="1:7">
      <c r="A338" s="6" t="s">
        <v>1403</v>
      </c>
      <c r="B338" t="s">
        <v>965</v>
      </c>
      <c r="C338" t="s">
        <v>966</v>
      </c>
      <c r="D338" t="s">
        <v>1404</v>
      </c>
      <c r="E338" t="s">
        <v>1267</v>
      </c>
      <c r="F338" s="12">
        <v>35</v>
      </c>
      <c r="G338" t="s">
        <v>2491</v>
      </c>
    </row>
    <row r="339" spans="1:7">
      <c r="A339" s="6"/>
      <c r="F339" t="e">
        <v>#VALUE!</v>
      </c>
      <c r="G339" t="e">
        <v>#VALUE!</v>
      </c>
    </row>
    <row r="340" spans="1:7">
      <c r="A340" s="6" t="s">
        <v>1405</v>
      </c>
      <c r="B340" t="s">
        <v>965</v>
      </c>
      <c r="C340" t="s">
        <v>966</v>
      </c>
      <c r="D340" t="s">
        <v>1406</v>
      </c>
      <c r="E340" t="s">
        <v>1014</v>
      </c>
      <c r="F340" s="12">
        <v>28</v>
      </c>
      <c r="G340" t="s">
        <v>2487</v>
      </c>
    </row>
    <row r="341" spans="1:7">
      <c r="A341" s="6" t="s">
        <v>1407</v>
      </c>
      <c r="B341" t="s">
        <v>965</v>
      </c>
      <c r="C341" t="s">
        <v>966</v>
      </c>
      <c r="D341" t="s">
        <v>1408</v>
      </c>
      <c r="E341" t="s">
        <v>1009</v>
      </c>
      <c r="F341" s="12">
        <v>46</v>
      </c>
      <c r="G341" t="s">
        <v>2504</v>
      </c>
    </row>
    <row r="342" spans="1:7">
      <c r="A342" s="6" t="s">
        <v>1409</v>
      </c>
      <c r="B342" t="s">
        <v>965</v>
      </c>
      <c r="C342" t="s">
        <v>966</v>
      </c>
      <c r="D342" t="s">
        <v>1410</v>
      </c>
      <c r="E342" t="s">
        <v>1009</v>
      </c>
      <c r="F342" s="12">
        <v>22</v>
      </c>
      <c r="G342" t="s">
        <v>2472</v>
      </c>
    </row>
    <row r="343" spans="1:7">
      <c r="A343" s="6" t="s">
        <v>1411</v>
      </c>
      <c r="B343" t="s">
        <v>965</v>
      </c>
      <c r="C343" t="s">
        <v>966</v>
      </c>
      <c r="D343" t="s">
        <v>1412</v>
      </c>
      <c r="E343" t="s">
        <v>1031</v>
      </c>
      <c r="F343" s="12">
        <v>46</v>
      </c>
      <c r="G343" t="s">
        <v>2504</v>
      </c>
    </row>
    <row r="344" spans="1:7">
      <c r="A344" s="6" t="s">
        <v>1413</v>
      </c>
      <c r="B344" t="s">
        <v>965</v>
      </c>
      <c r="C344" t="s">
        <v>966</v>
      </c>
      <c r="D344" t="s">
        <v>1414</v>
      </c>
      <c r="E344" t="s">
        <v>1020</v>
      </c>
      <c r="F344" s="12">
        <v>75</v>
      </c>
      <c r="G344" t="s">
        <v>2522</v>
      </c>
    </row>
    <row r="345" spans="1:7">
      <c r="A345" s="6" t="s">
        <v>310</v>
      </c>
      <c r="B345" t="s">
        <v>965</v>
      </c>
      <c r="C345" t="s">
        <v>966</v>
      </c>
      <c r="D345" t="s">
        <v>1415</v>
      </c>
      <c r="E345" t="s">
        <v>1020</v>
      </c>
      <c r="F345" s="12">
        <v>32</v>
      </c>
      <c r="G345" t="s">
        <v>2476</v>
      </c>
    </row>
    <row r="346" spans="1:7">
      <c r="A346" s="6" t="s">
        <v>1416</v>
      </c>
      <c r="B346" t="s">
        <v>965</v>
      </c>
      <c r="C346" t="s">
        <v>966</v>
      </c>
      <c r="D346" t="s">
        <v>1417</v>
      </c>
      <c r="E346" t="s">
        <v>1014</v>
      </c>
      <c r="F346" s="12">
        <v>37</v>
      </c>
      <c r="G346" t="s">
        <v>2507</v>
      </c>
    </row>
    <row r="347" spans="1:7">
      <c r="A347" s="6" t="s">
        <v>1418</v>
      </c>
      <c r="B347" t="s">
        <v>965</v>
      </c>
      <c r="C347" t="s">
        <v>966</v>
      </c>
      <c r="D347" t="s">
        <v>1419</v>
      </c>
      <c r="E347" t="s">
        <v>1009</v>
      </c>
      <c r="F347" s="12">
        <v>50</v>
      </c>
      <c r="G347" t="s">
        <v>2490</v>
      </c>
    </row>
    <row r="348" spans="1:7">
      <c r="A348" s="6" t="s">
        <v>314</v>
      </c>
      <c r="B348" t="s">
        <v>965</v>
      </c>
      <c r="C348" t="s">
        <v>966</v>
      </c>
      <c r="D348" t="s">
        <v>1420</v>
      </c>
      <c r="E348" t="s">
        <v>1012</v>
      </c>
      <c r="F348" s="12">
        <v>65</v>
      </c>
      <c r="G348" t="s">
        <v>2514</v>
      </c>
    </row>
    <row r="349" spans="1:7">
      <c r="A349" s="6" t="s">
        <v>1421</v>
      </c>
      <c r="B349" t="s">
        <v>965</v>
      </c>
      <c r="C349" t="s">
        <v>966</v>
      </c>
      <c r="D349" t="s">
        <v>1422</v>
      </c>
      <c r="E349" t="s">
        <v>1007</v>
      </c>
      <c r="F349" t="s">
        <v>2436</v>
      </c>
      <c r="G349" t="e">
        <v>#VALUE!</v>
      </c>
    </row>
    <row r="350" spans="1:7">
      <c r="A350" s="6"/>
      <c r="F350" t="e">
        <v>#VALUE!</v>
      </c>
      <c r="G350" t="e">
        <v>#VALUE!</v>
      </c>
    </row>
    <row r="351" spans="1:7">
      <c r="A351" s="6" t="s">
        <v>1423</v>
      </c>
      <c r="B351" t="s">
        <v>965</v>
      </c>
      <c r="C351" t="s">
        <v>966</v>
      </c>
      <c r="D351" t="s">
        <v>1424</v>
      </c>
      <c r="E351" t="s">
        <v>1009</v>
      </c>
      <c r="F351" s="12">
        <v>46</v>
      </c>
      <c r="G351" t="s">
        <v>2504</v>
      </c>
    </row>
    <row r="352" spans="1:7">
      <c r="A352" s="6" t="s">
        <v>1425</v>
      </c>
      <c r="B352" t="s">
        <v>965</v>
      </c>
      <c r="C352" t="s">
        <v>966</v>
      </c>
      <c r="D352" t="s">
        <v>1426</v>
      </c>
      <c r="E352" t="s">
        <v>1031</v>
      </c>
      <c r="F352" s="12">
        <v>31</v>
      </c>
      <c r="G352" t="s">
        <v>2480</v>
      </c>
    </row>
    <row r="353" spans="1:7">
      <c r="A353" s="6" t="s">
        <v>317</v>
      </c>
      <c r="B353" t="s">
        <v>965</v>
      </c>
      <c r="C353" t="s">
        <v>966</v>
      </c>
      <c r="D353" t="s">
        <v>1427</v>
      </c>
      <c r="E353" t="s">
        <v>1026</v>
      </c>
      <c r="F353" s="12">
        <v>40</v>
      </c>
      <c r="G353" t="s">
        <v>2489</v>
      </c>
    </row>
    <row r="354" spans="1:7">
      <c r="A354" s="6" t="s">
        <v>317</v>
      </c>
      <c r="B354" t="s">
        <v>965</v>
      </c>
      <c r="C354" t="s">
        <v>966</v>
      </c>
      <c r="D354" t="s">
        <v>1428</v>
      </c>
      <c r="E354" t="s">
        <v>1026</v>
      </c>
      <c r="F354" s="12">
        <v>20</v>
      </c>
      <c r="G354" t="s">
        <v>2481</v>
      </c>
    </row>
    <row r="355" spans="1:7">
      <c r="A355" s="6" t="s">
        <v>1429</v>
      </c>
      <c r="B355" t="s">
        <v>965</v>
      </c>
      <c r="C355" t="s">
        <v>966</v>
      </c>
      <c r="D355" t="s">
        <v>1430</v>
      </c>
      <c r="E355" t="s">
        <v>1012</v>
      </c>
      <c r="F355" s="12">
        <v>60</v>
      </c>
      <c r="G355" t="s">
        <v>2484</v>
      </c>
    </row>
    <row r="356" spans="1:7">
      <c r="A356" s="6" t="s">
        <v>1431</v>
      </c>
      <c r="B356" t="s">
        <v>965</v>
      </c>
      <c r="C356" t="s">
        <v>966</v>
      </c>
      <c r="D356" t="s">
        <v>1432</v>
      </c>
      <c r="E356" t="s">
        <v>1026</v>
      </c>
      <c r="F356" s="12">
        <v>45</v>
      </c>
      <c r="G356" t="s">
        <v>2470</v>
      </c>
    </row>
    <row r="357" spans="1:7">
      <c r="A357" s="6" t="s">
        <v>1433</v>
      </c>
      <c r="B357" t="s">
        <v>965</v>
      </c>
      <c r="C357" t="s">
        <v>966</v>
      </c>
      <c r="D357" t="s">
        <v>1434</v>
      </c>
      <c r="E357" t="s">
        <v>1031</v>
      </c>
      <c r="F357" s="12">
        <v>46</v>
      </c>
      <c r="G357" t="s">
        <v>2504</v>
      </c>
    </row>
    <row r="358" spans="1:7">
      <c r="A358" s="6" t="s">
        <v>1435</v>
      </c>
      <c r="B358" t="s">
        <v>965</v>
      </c>
      <c r="C358" t="s">
        <v>966</v>
      </c>
      <c r="D358" t="s">
        <v>1436</v>
      </c>
      <c r="E358" t="s">
        <v>1009</v>
      </c>
      <c r="F358" s="12">
        <v>20</v>
      </c>
      <c r="G358" t="s">
        <v>2481</v>
      </c>
    </row>
    <row r="359" spans="1:7">
      <c r="A359" s="6" t="s">
        <v>1437</v>
      </c>
      <c r="B359" t="s">
        <v>965</v>
      </c>
      <c r="C359" t="s">
        <v>966</v>
      </c>
      <c r="D359" t="s">
        <v>1438</v>
      </c>
      <c r="E359" t="s">
        <v>1026</v>
      </c>
      <c r="F359" s="12">
        <v>19</v>
      </c>
      <c r="G359" t="s">
        <v>2483</v>
      </c>
    </row>
    <row r="360" spans="1:7">
      <c r="A360" s="6" t="s">
        <v>1439</v>
      </c>
      <c r="B360" t="s">
        <v>965</v>
      </c>
      <c r="C360" t="s">
        <v>966</v>
      </c>
      <c r="D360" t="s">
        <v>1440</v>
      </c>
      <c r="E360" t="s">
        <v>1014</v>
      </c>
      <c r="F360" s="12">
        <v>35</v>
      </c>
      <c r="G360" t="s">
        <v>2491</v>
      </c>
    </row>
    <row r="361" spans="1:7">
      <c r="A361" s="6"/>
      <c r="F361" t="e">
        <v>#VALUE!</v>
      </c>
      <c r="G361" t="e">
        <v>#VALUE!</v>
      </c>
    </row>
    <row r="362" spans="1:7">
      <c r="A362" s="6" t="s">
        <v>1441</v>
      </c>
      <c r="B362" t="s">
        <v>965</v>
      </c>
      <c r="C362" t="s">
        <v>966</v>
      </c>
      <c r="D362" t="s">
        <v>1442</v>
      </c>
      <c r="E362" t="s">
        <v>1272</v>
      </c>
      <c r="F362" t="s">
        <v>2436</v>
      </c>
      <c r="G362" t="e">
        <v>#VALUE!</v>
      </c>
    </row>
    <row r="363" spans="1:7">
      <c r="A363" s="6"/>
      <c r="F363" t="e">
        <v>#VALUE!</v>
      </c>
      <c r="G363" t="e">
        <v>#VALUE!</v>
      </c>
    </row>
    <row r="364" spans="1:7">
      <c r="A364" s="6" t="s">
        <v>4871</v>
      </c>
      <c r="B364" t="s">
        <v>965</v>
      </c>
      <c r="C364" t="s">
        <v>966</v>
      </c>
      <c r="D364" t="s">
        <v>1443</v>
      </c>
      <c r="E364" t="s">
        <v>1354</v>
      </c>
      <c r="F364" s="12">
        <v>47</v>
      </c>
      <c r="G364" t="s">
        <v>2495</v>
      </c>
    </row>
    <row r="365" spans="1:7">
      <c r="A365" s="6" t="s">
        <v>4880</v>
      </c>
      <c r="B365" t="s">
        <v>965</v>
      </c>
      <c r="C365" t="s">
        <v>966</v>
      </c>
      <c r="D365" t="s">
        <v>1444</v>
      </c>
      <c r="E365" t="s">
        <v>1354</v>
      </c>
      <c r="F365" s="12">
        <v>40</v>
      </c>
      <c r="G365" t="s">
        <v>2489</v>
      </c>
    </row>
    <row r="366" spans="1:7">
      <c r="A366" s="6" t="s">
        <v>4884</v>
      </c>
      <c r="B366" t="s">
        <v>965</v>
      </c>
      <c r="C366" t="s">
        <v>966</v>
      </c>
      <c r="D366" t="s">
        <v>1445</v>
      </c>
      <c r="E366" t="s">
        <v>1354</v>
      </c>
      <c r="F366" s="12">
        <v>23</v>
      </c>
      <c r="G366" t="s">
        <v>2520</v>
      </c>
    </row>
    <row r="367" spans="1:7">
      <c r="A367" s="6" t="s">
        <v>4872</v>
      </c>
      <c r="B367" t="s">
        <v>965</v>
      </c>
      <c r="C367" t="s">
        <v>966</v>
      </c>
      <c r="D367" t="s">
        <v>1446</v>
      </c>
      <c r="E367" t="s">
        <v>1031</v>
      </c>
      <c r="F367" s="12">
        <v>34</v>
      </c>
      <c r="G367" t="s">
        <v>2496</v>
      </c>
    </row>
    <row r="368" spans="1:7">
      <c r="A368" s="6"/>
      <c r="F368" t="e">
        <v>#VALUE!</v>
      </c>
      <c r="G368" t="e">
        <v>#VALUE!</v>
      </c>
    </row>
    <row r="369" spans="1:7">
      <c r="A369" s="6" t="s">
        <v>4885</v>
      </c>
      <c r="B369" t="s">
        <v>965</v>
      </c>
      <c r="C369" t="s">
        <v>966</v>
      </c>
      <c r="D369" t="s">
        <v>1447</v>
      </c>
      <c r="E369" t="s">
        <v>1031</v>
      </c>
      <c r="F369" s="12">
        <v>34</v>
      </c>
      <c r="G369" t="s">
        <v>2496</v>
      </c>
    </row>
    <row r="370" spans="1:7">
      <c r="A370" s="6" t="s">
        <v>4886</v>
      </c>
      <c r="B370" t="s">
        <v>965</v>
      </c>
      <c r="C370" t="s">
        <v>966</v>
      </c>
      <c r="D370" t="s">
        <v>1448</v>
      </c>
      <c r="E370" t="s">
        <v>968</v>
      </c>
      <c r="F370" s="12">
        <v>65</v>
      </c>
      <c r="G370" t="s">
        <v>2514</v>
      </c>
    </row>
    <row r="371" spans="1:7">
      <c r="A371" s="6" t="s">
        <v>4887</v>
      </c>
      <c r="B371" t="s">
        <v>965</v>
      </c>
      <c r="C371" t="s">
        <v>966</v>
      </c>
      <c r="D371" t="s">
        <v>1449</v>
      </c>
      <c r="E371" t="s">
        <v>1354</v>
      </c>
      <c r="F371" s="12">
        <v>40</v>
      </c>
      <c r="G371" t="s">
        <v>2489</v>
      </c>
    </row>
    <row r="372" spans="1:7">
      <c r="A372" s="6" t="s">
        <v>4888</v>
      </c>
      <c r="B372" t="s">
        <v>965</v>
      </c>
      <c r="C372" t="s">
        <v>966</v>
      </c>
      <c r="D372" t="s">
        <v>1450</v>
      </c>
      <c r="E372" t="s">
        <v>1354</v>
      </c>
      <c r="F372" s="12">
        <v>20</v>
      </c>
      <c r="G372" t="s">
        <v>2481</v>
      </c>
    </row>
    <row r="373" spans="1:7">
      <c r="A373" s="6" t="s">
        <v>4889</v>
      </c>
      <c r="B373" t="s">
        <v>965</v>
      </c>
      <c r="C373" t="s">
        <v>966</v>
      </c>
      <c r="D373" t="s">
        <v>1451</v>
      </c>
      <c r="E373" t="s">
        <v>1128</v>
      </c>
      <c r="F373" s="12">
        <v>35</v>
      </c>
      <c r="G373" t="s">
        <v>2491</v>
      </c>
    </row>
    <row r="374" spans="1:7">
      <c r="A374" s="6" t="s">
        <v>4890</v>
      </c>
      <c r="B374" t="s">
        <v>965</v>
      </c>
      <c r="C374" t="s">
        <v>966</v>
      </c>
      <c r="D374" t="s">
        <v>1452</v>
      </c>
      <c r="E374" t="s">
        <v>1354</v>
      </c>
      <c r="F374" s="12">
        <v>44</v>
      </c>
      <c r="G374" t="s">
        <v>2475</v>
      </c>
    </row>
    <row r="375" spans="1:7">
      <c r="A375" s="6"/>
      <c r="F375" t="e">
        <v>#VALUE!</v>
      </c>
      <c r="G375" t="e">
        <v>#VALUE!</v>
      </c>
    </row>
    <row r="376" spans="1:7">
      <c r="A376" s="6" t="s">
        <v>1453</v>
      </c>
      <c r="B376" t="s">
        <v>965</v>
      </c>
      <c r="C376" t="s">
        <v>966</v>
      </c>
      <c r="D376" t="s">
        <v>1454</v>
      </c>
      <c r="E376" t="s">
        <v>1007</v>
      </c>
      <c r="F376" s="12">
        <v>24</v>
      </c>
      <c r="G376" t="s">
        <v>2506</v>
      </c>
    </row>
    <row r="377" spans="1:7">
      <c r="A377" s="6"/>
      <c r="F377" t="e">
        <v>#VALUE!</v>
      </c>
      <c r="G377" t="e">
        <v>#VALUE!</v>
      </c>
    </row>
    <row r="378" spans="1:7">
      <c r="A378" s="6" t="s">
        <v>1455</v>
      </c>
      <c r="B378" t="s">
        <v>965</v>
      </c>
      <c r="C378" t="s">
        <v>966</v>
      </c>
      <c r="D378" t="s">
        <v>1456</v>
      </c>
      <c r="E378" t="s">
        <v>1007</v>
      </c>
      <c r="F378" s="12">
        <v>19</v>
      </c>
      <c r="G378" t="s">
        <v>2483</v>
      </c>
    </row>
    <row r="379" spans="1:7">
      <c r="A379" s="6" t="s">
        <v>1457</v>
      </c>
      <c r="B379" t="s">
        <v>965</v>
      </c>
      <c r="C379" t="s">
        <v>966</v>
      </c>
      <c r="D379" t="s">
        <v>1458</v>
      </c>
      <c r="E379" t="s">
        <v>1007</v>
      </c>
      <c r="F379" s="12">
        <v>49</v>
      </c>
      <c r="G379" t="s">
        <v>2493</v>
      </c>
    </row>
    <row r="380" spans="1:7">
      <c r="A380" s="6"/>
      <c r="F380" t="e">
        <v>#VALUE!</v>
      </c>
      <c r="G380" t="e">
        <v>#VALUE!</v>
      </c>
    </row>
    <row r="381" spans="1:7">
      <c r="A381" s="6" t="s">
        <v>1459</v>
      </c>
      <c r="B381" t="s">
        <v>965</v>
      </c>
      <c r="C381" t="s">
        <v>966</v>
      </c>
      <c r="D381" t="s">
        <v>1460</v>
      </c>
      <c r="E381" t="s">
        <v>1020</v>
      </c>
      <c r="F381" s="12">
        <v>63</v>
      </c>
      <c r="G381" t="s">
        <v>2510</v>
      </c>
    </row>
    <row r="382" spans="1:7">
      <c r="A382" s="6"/>
      <c r="F382" t="e">
        <v>#VALUE!</v>
      </c>
      <c r="G382" t="e">
        <v>#VALUE!</v>
      </c>
    </row>
    <row r="383" spans="1:7">
      <c r="A383" s="6" t="s">
        <v>1461</v>
      </c>
      <c r="B383" t="s">
        <v>965</v>
      </c>
      <c r="C383" t="s">
        <v>966</v>
      </c>
      <c r="D383" t="s">
        <v>1462</v>
      </c>
      <c r="E383" t="s">
        <v>1128</v>
      </c>
      <c r="F383" s="12">
        <v>40</v>
      </c>
      <c r="G383" t="s">
        <v>2489</v>
      </c>
    </row>
    <row r="384" spans="1:7">
      <c r="A384" s="6"/>
      <c r="F384" t="e">
        <v>#VALUE!</v>
      </c>
      <c r="G384" t="e">
        <v>#VALUE!</v>
      </c>
    </row>
    <row r="385" spans="1:7">
      <c r="A385" s="6" t="s">
        <v>1463</v>
      </c>
      <c r="B385" t="s">
        <v>965</v>
      </c>
      <c r="C385" t="s">
        <v>966</v>
      </c>
      <c r="D385" t="s">
        <v>1464</v>
      </c>
      <c r="E385" t="s">
        <v>1128</v>
      </c>
      <c r="F385" s="12">
        <v>33</v>
      </c>
      <c r="G385" t="s">
        <v>2500</v>
      </c>
    </row>
    <row r="386" spans="1:7">
      <c r="A386" s="6"/>
      <c r="F386" t="e">
        <v>#VALUE!</v>
      </c>
      <c r="G386" t="e">
        <v>#VALUE!</v>
      </c>
    </row>
    <row r="387" spans="1:7">
      <c r="A387" s="6" t="s">
        <v>1465</v>
      </c>
      <c r="B387" t="s">
        <v>965</v>
      </c>
      <c r="C387" t="s">
        <v>966</v>
      </c>
      <c r="D387" t="s">
        <v>1466</v>
      </c>
      <c r="E387" t="s">
        <v>1052</v>
      </c>
      <c r="F387" s="12">
        <v>35</v>
      </c>
      <c r="G387" t="s">
        <v>2491</v>
      </c>
    </row>
    <row r="388" spans="1:7">
      <c r="A388" s="6" t="s">
        <v>1467</v>
      </c>
      <c r="B388" t="s">
        <v>965</v>
      </c>
      <c r="C388" t="s">
        <v>966</v>
      </c>
      <c r="D388" t="s">
        <v>1468</v>
      </c>
      <c r="E388" t="s">
        <v>1020</v>
      </c>
      <c r="F388" s="12">
        <v>60</v>
      </c>
      <c r="G388" t="s">
        <v>2484</v>
      </c>
    </row>
    <row r="389" spans="1:7">
      <c r="A389" s="6" t="s">
        <v>1469</v>
      </c>
      <c r="B389" t="s">
        <v>965</v>
      </c>
      <c r="C389" t="s">
        <v>966</v>
      </c>
      <c r="D389" t="s">
        <v>1470</v>
      </c>
      <c r="E389" t="s">
        <v>1020</v>
      </c>
      <c r="F389" s="12">
        <v>32</v>
      </c>
      <c r="G389" t="s">
        <v>2476</v>
      </c>
    </row>
    <row r="390" spans="1:7">
      <c r="A390" s="6" t="s">
        <v>1471</v>
      </c>
      <c r="B390" t="s">
        <v>965</v>
      </c>
      <c r="C390" t="s">
        <v>966</v>
      </c>
      <c r="D390" t="s">
        <v>1472</v>
      </c>
      <c r="E390" t="s">
        <v>970</v>
      </c>
      <c r="F390" s="12">
        <v>35</v>
      </c>
      <c r="G390" t="s">
        <v>2491</v>
      </c>
    </row>
    <row r="391" spans="1:7">
      <c r="A391" s="6" t="s">
        <v>332</v>
      </c>
      <c r="B391" t="s">
        <v>965</v>
      </c>
      <c r="C391" t="s">
        <v>966</v>
      </c>
      <c r="D391" t="s">
        <v>1473</v>
      </c>
      <c r="E391" t="s">
        <v>1020</v>
      </c>
      <c r="F391" s="12">
        <v>37</v>
      </c>
      <c r="G391" t="s">
        <v>2507</v>
      </c>
    </row>
    <row r="392" spans="1:7">
      <c r="A392" s="6" t="s">
        <v>1474</v>
      </c>
      <c r="B392" t="s">
        <v>965</v>
      </c>
      <c r="C392" t="s">
        <v>966</v>
      </c>
      <c r="D392" t="s">
        <v>1475</v>
      </c>
      <c r="E392" t="s">
        <v>1012</v>
      </c>
      <c r="F392" s="12">
        <v>18</v>
      </c>
      <c r="G392" t="s">
        <v>2477</v>
      </c>
    </row>
    <row r="393" spans="1:7">
      <c r="A393" s="6" t="s">
        <v>333</v>
      </c>
      <c r="B393" t="s">
        <v>965</v>
      </c>
      <c r="C393" t="s">
        <v>966</v>
      </c>
      <c r="D393" t="s">
        <v>1476</v>
      </c>
      <c r="E393" t="s">
        <v>1020</v>
      </c>
      <c r="F393" s="12">
        <v>41</v>
      </c>
      <c r="G393" t="s">
        <v>2517</v>
      </c>
    </row>
    <row r="394" spans="1:7">
      <c r="A394" s="6" t="s">
        <v>1477</v>
      </c>
      <c r="B394" t="s">
        <v>965</v>
      </c>
      <c r="C394" t="s">
        <v>966</v>
      </c>
      <c r="D394" t="s">
        <v>1478</v>
      </c>
      <c r="E394" t="s">
        <v>1020</v>
      </c>
      <c r="F394" s="12">
        <v>34</v>
      </c>
      <c r="G394" t="s">
        <v>2496</v>
      </c>
    </row>
    <row r="395" spans="1:7">
      <c r="A395" s="6" t="s">
        <v>1479</v>
      </c>
      <c r="B395" t="s">
        <v>965</v>
      </c>
      <c r="C395" t="s">
        <v>966</v>
      </c>
      <c r="D395" t="s">
        <v>1480</v>
      </c>
      <c r="E395" t="s">
        <v>970</v>
      </c>
      <c r="F395" s="12">
        <v>70</v>
      </c>
      <c r="G395" t="s">
        <v>2471</v>
      </c>
    </row>
    <row r="396" spans="1:7">
      <c r="A396" s="6" t="s">
        <v>1481</v>
      </c>
      <c r="B396" t="s">
        <v>965</v>
      </c>
      <c r="C396" t="s">
        <v>966</v>
      </c>
      <c r="D396" t="s">
        <v>1482</v>
      </c>
      <c r="E396" t="s">
        <v>1012</v>
      </c>
      <c r="F396" s="12">
        <v>40</v>
      </c>
      <c r="G396" t="s">
        <v>2489</v>
      </c>
    </row>
    <row r="397" spans="1:7">
      <c r="A397" s="6"/>
      <c r="F397" t="e">
        <v>#VALUE!</v>
      </c>
      <c r="G397" t="e">
        <v>#VALUE!</v>
      </c>
    </row>
    <row r="398" spans="1:7">
      <c r="A398" s="6" t="s">
        <v>1483</v>
      </c>
      <c r="B398" t="s">
        <v>965</v>
      </c>
      <c r="C398" t="s">
        <v>966</v>
      </c>
      <c r="D398" t="s">
        <v>1484</v>
      </c>
      <c r="E398" t="s">
        <v>1012</v>
      </c>
      <c r="F398" s="12">
        <v>46</v>
      </c>
      <c r="G398" t="s">
        <v>2504</v>
      </c>
    </row>
    <row r="399" spans="1:7">
      <c r="A399" s="6" t="s">
        <v>1485</v>
      </c>
      <c r="B399" t="s">
        <v>965</v>
      </c>
      <c r="C399" t="s">
        <v>966</v>
      </c>
      <c r="D399" t="s">
        <v>1486</v>
      </c>
      <c r="E399" t="s">
        <v>970</v>
      </c>
      <c r="F399" s="12">
        <v>34</v>
      </c>
      <c r="G399" t="s">
        <v>2496</v>
      </c>
    </row>
    <row r="400" spans="1:7">
      <c r="A400" s="6" t="s">
        <v>1487</v>
      </c>
      <c r="B400" t="s">
        <v>965</v>
      </c>
      <c r="C400" t="s">
        <v>966</v>
      </c>
      <c r="D400" t="s">
        <v>1488</v>
      </c>
      <c r="E400" t="s">
        <v>1052</v>
      </c>
      <c r="F400" s="12">
        <v>28</v>
      </c>
      <c r="G400" t="s">
        <v>2487</v>
      </c>
    </row>
    <row r="401" spans="1:7">
      <c r="A401" s="6" t="s">
        <v>1489</v>
      </c>
      <c r="B401" t="s">
        <v>965</v>
      </c>
      <c r="C401" t="s">
        <v>966</v>
      </c>
      <c r="D401" t="s">
        <v>1490</v>
      </c>
      <c r="E401" t="s">
        <v>1007</v>
      </c>
      <c r="F401" s="12">
        <v>40</v>
      </c>
      <c r="G401" t="s">
        <v>2489</v>
      </c>
    </row>
    <row r="402" spans="1:7">
      <c r="A402" s="6" t="s">
        <v>1491</v>
      </c>
      <c r="B402" t="s">
        <v>965</v>
      </c>
      <c r="C402" t="s">
        <v>966</v>
      </c>
      <c r="D402" t="s">
        <v>1492</v>
      </c>
      <c r="E402" t="s">
        <v>1012</v>
      </c>
      <c r="F402" s="12">
        <v>40</v>
      </c>
      <c r="G402" t="s">
        <v>2489</v>
      </c>
    </row>
    <row r="403" spans="1:7">
      <c r="A403" s="6" t="s">
        <v>1493</v>
      </c>
      <c r="B403" t="s">
        <v>965</v>
      </c>
      <c r="C403" t="s">
        <v>966</v>
      </c>
      <c r="D403" t="s">
        <v>1494</v>
      </c>
      <c r="E403" t="s">
        <v>1012</v>
      </c>
      <c r="F403" s="12">
        <v>23</v>
      </c>
      <c r="G403" t="s">
        <v>2520</v>
      </c>
    </row>
    <row r="404" spans="1:7">
      <c r="A404" s="6"/>
      <c r="F404" t="e">
        <v>#VALUE!</v>
      </c>
      <c r="G404" t="e">
        <v>#VALUE!</v>
      </c>
    </row>
    <row r="405" spans="1:7">
      <c r="A405" s="6" t="s">
        <v>1495</v>
      </c>
      <c r="B405" t="s">
        <v>965</v>
      </c>
      <c r="C405" t="s">
        <v>966</v>
      </c>
      <c r="D405" t="s">
        <v>1496</v>
      </c>
      <c r="E405" t="s">
        <v>976</v>
      </c>
      <c r="F405" t="s">
        <v>2436</v>
      </c>
      <c r="G405" t="e">
        <v>#VALUE!</v>
      </c>
    </row>
    <row r="406" spans="1:7">
      <c r="A406" s="6" t="s">
        <v>339</v>
      </c>
      <c r="B406" t="s">
        <v>965</v>
      </c>
      <c r="C406" t="s">
        <v>966</v>
      </c>
      <c r="D406" t="s">
        <v>1497</v>
      </c>
      <c r="E406" t="s">
        <v>1202</v>
      </c>
      <c r="F406" s="12">
        <v>46</v>
      </c>
      <c r="G406" t="s">
        <v>2504</v>
      </c>
    </row>
    <row r="407" spans="1:7">
      <c r="A407" s="6"/>
      <c r="F407" t="e">
        <v>#VALUE!</v>
      </c>
      <c r="G407" t="e">
        <v>#VALUE!</v>
      </c>
    </row>
    <row r="408" spans="1:7">
      <c r="A408" s="6" t="s">
        <v>1498</v>
      </c>
      <c r="B408" t="s">
        <v>965</v>
      </c>
      <c r="C408" t="s">
        <v>966</v>
      </c>
      <c r="D408" t="s">
        <v>1499</v>
      </c>
      <c r="E408" t="s">
        <v>1202</v>
      </c>
      <c r="F408" s="12">
        <v>47</v>
      </c>
      <c r="G408" t="s">
        <v>2495</v>
      </c>
    </row>
    <row r="409" spans="1:7">
      <c r="A409" s="6"/>
      <c r="F409" t="e">
        <v>#VALUE!</v>
      </c>
      <c r="G409" t="e">
        <v>#VALUE!</v>
      </c>
    </row>
    <row r="410" spans="1:7">
      <c r="A410" s="6" t="s">
        <v>1500</v>
      </c>
      <c r="B410" t="s">
        <v>965</v>
      </c>
      <c r="C410" t="s">
        <v>966</v>
      </c>
      <c r="D410" t="s">
        <v>1501</v>
      </c>
      <c r="E410" t="s">
        <v>976</v>
      </c>
      <c r="F410" t="s">
        <v>2436</v>
      </c>
      <c r="G410" t="e">
        <v>#VALUE!</v>
      </c>
    </row>
    <row r="411" spans="1:7">
      <c r="A411" s="6"/>
      <c r="F411" t="e">
        <v>#VALUE!</v>
      </c>
      <c r="G411" t="e">
        <v>#VALUE!</v>
      </c>
    </row>
    <row r="412" spans="1:7">
      <c r="A412" s="6" t="s">
        <v>1502</v>
      </c>
      <c r="B412" t="s">
        <v>965</v>
      </c>
      <c r="C412" t="s">
        <v>966</v>
      </c>
      <c r="D412" t="s">
        <v>1503</v>
      </c>
      <c r="E412" t="s">
        <v>1117</v>
      </c>
      <c r="F412" s="12">
        <v>33</v>
      </c>
      <c r="G412" t="s">
        <v>2500</v>
      </c>
    </row>
    <row r="413" spans="1:7">
      <c r="A413" s="6"/>
      <c r="F413" t="e">
        <v>#VALUE!</v>
      </c>
      <c r="G413" t="e">
        <v>#VALUE!</v>
      </c>
    </row>
    <row r="414" spans="1:7">
      <c r="A414" s="6" t="s">
        <v>1504</v>
      </c>
      <c r="B414" t="s">
        <v>965</v>
      </c>
      <c r="C414" t="s">
        <v>966</v>
      </c>
      <c r="D414" t="s">
        <v>1505</v>
      </c>
      <c r="E414" t="s">
        <v>1117</v>
      </c>
      <c r="F414" s="12">
        <v>28</v>
      </c>
      <c r="G414" t="s">
        <v>2487</v>
      </c>
    </row>
    <row r="415" spans="1:7">
      <c r="A415" s="6"/>
      <c r="F415" t="e">
        <v>#VALUE!</v>
      </c>
      <c r="G415" t="e">
        <v>#VALUE!</v>
      </c>
    </row>
    <row r="416" spans="1:7">
      <c r="A416" s="6" t="s">
        <v>1506</v>
      </c>
      <c r="B416" t="s">
        <v>965</v>
      </c>
      <c r="C416" t="s">
        <v>966</v>
      </c>
      <c r="D416" t="s">
        <v>1507</v>
      </c>
      <c r="E416" t="s">
        <v>1043</v>
      </c>
      <c r="F416" s="12">
        <v>38</v>
      </c>
      <c r="G416" t="s">
        <v>2488</v>
      </c>
    </row>
    <row r="417" spans="1:7">
      <c r="A417" s="6" t="s">
        <v>1508</v>
      </c>
      <c r="B417" t="s">
        <v>965</v>
      </c>
      <c r="C417" t="s">
        <v>966</v>
      </c>
      <c r="D417" t="s">
        <v>1509</v>
      </c>
      <c r="E417" t="s">
        <v>1020</v>
      </c>
      <c r="F417" s="12">
        <v>66</v>
      </c>
      <c r="G417" t="s">
        <v>2479</v>
      </c>
    </row>
    <row r="418" spans="1:7">
      <c r="A418" s="6" t="s">
        <v>345</v>
      </c>
      <c r="B418" t="s">
        <v>965</v>
      </c>
      <c r="C418" t="s">
        <v>966</v>
      </c>
      <c r="D418" t="s">
        <v>1510</v>
      </c>
      <c r="E418" t="s">
        <v>1202</v>
      </c>
      <c r="F418" s="12">
        <v>40</v>
      </c>
      <c r="G418" t="s">
        <v>2489</v>
      </c>
    </row>
    <row r="419" spans="1:7">
      <c r="A419" s="6" t="s">
        <v>1511</v>
      </c>
      <c r="B419" t="s">
        <v>965</v>
      </c>
      <c r="C419" t="s">
        <v>966</v>
      </c>
      <c r="D419" t="s">
        <v>1512</v>
      </c>
      <c r="E419" t="s">
        <v>1043</v>
      </c>
      <c r="F419" s="12">
        <v>43</v>
      </c>
      <c r="G419" t="s">
        <v>2494</v>
      </c>
    </row>
    <row r="420" spans="1:7">
      <c r="A420" s="6"/>
      <c r="F420" t="e">
        <v>#VALUE!</v>
      </c>
      <c r="G420" t="e">
        <v>#VALUE!</v>
      </c>
    </row>
    <row r="421" spans="1:7">
      <c r="A421" s="6" t="s">
        <v>1513</v>
      </c>
      <c r="B421" t="s">
        <v>965</v>
      </c>
      <c r="C421" t="s">
        <v>966</v>
      </c>
      <c r="D421" t="s">
        <v>1514</v>
      </c>
      <c r="E421" t="s">
        <v>1020</v>
      </c>
      <c r="F421" s="12">
        <v>22</v>
      </c>
      <c r="G421" t="s">
        <v>2472</v>
      </c>
    </row>
    <row r="422" spans="1:7">
      <c r="A422" s="6" t="s">
        <v>1515</v>
      </c>
      <c r="B422" t="s">
        <v>965</v>
      </c>
      <c r="C422" t="s">
        <v>966</v>
      </c>
      <c r="D422" t="s">
        <v>1516</v>
      </c>
      <c r="E422" t="s">
        <v>1043</v>
      </c>
      <c r="F422" s="12">
        <v>33</v>
      </c>
      <c r="G422" t="s">
        <v>2500</v>
      </c>
    </row>
    <row r="423" spans="1:7">
      <c r="A423" s="6" t="s">
        <v>1517</v>
      </c>
      <c r="B423" t="s">
        <v>965</v>
      </c>
      <c r="C423" t="s">
        <v>966</v>
      </c>
      <c r="D423" t="s">
        <v>1518</v>
      </c>
      <c r="E423" t="s">
        <v>1202</v>
      </c>
      <c r="F423" s="12">
        <v>30</v>
      </c>
      <c r="G423" t="s">
        <v>2485</v>
      </c>
    </row>
    <row r="424" spans="1:7">
      <c r="A424" s="6"/>
      <c r="F424" t="e">
        <v>#VALUE!</v>
      </c>
      <c r="G424" t="e">
        <v>#VALUE!</v>
      </c>
    </row>
    <row r="425" spans="1:7">
      <c r="A425" s="6" t="s">
        <v>348</v>
      </c>
      <c r="B425" t="s">
        <v>965</v>
      </c>
      <c r="C425" t="s">
        <v>966</v>
      </c>
      <c r="D425" t="s">
        <v>1519</v>
      </c>
      <c r="E425" t="s">
        <v>1370</v>
      </c>
      <c r="F425" s="12">
        <v>55</v>
      </c>
      <c r="G425" t="s">
        <v>2492</v>
      </c>
    </row>
    <row r="426" spans="1:7">
      <c r="A426" s="6" t="s">
        <v>1520</v>
      </c>
      <c r="B426" t="s">
        <v>965</v>
      </c>
      <c r="C426" t="s">
        <v>966</v>
      </c>
      <c r="D426" t="s">
        <v>1521</v>
      </c>
      <c r="E426" t="s">
        <v>1267</v>
      </c>
      <c r="F426" s="12">
        <v>35</v>
      </c>
      <c r="G426" t="s">
        <v>2491</v>
      </c>
    </row>
    <row r="427" spans="1:7">
      <c r="A427" s="6" t="s">
        <v>1522</v>
      </c>
      <c r="B427" t="s">
        <v>965</v>
      </c>
      <c r="C427" t="s">
        <v>966</v>
      </c>
      <c r="D427" t="s">
        <v>1523</v>
      </c>
      <c r="E427" t="s">
        <v>968</v>
      </c>
      <c r="F427" s="12">
        <v>35</v>
      </c>
      <c r="G427" t="s">
        <v>2491</v>
      </c>
    </row>
    <row r="428" spans="1:7">
      <c r="A428" s="6" t="s">
        <v>1524</v>
      </c>
      <c r="B428" t="s">
        <v>965</v>
      </c>
      <c r="C428" t="s">
        <v>966</v>
      </c>
      <c r="D428" t="s">
        <v>1525</v>
      </c>
      <c r="E428" t="s">
        <v>1354</v>
      </c>
      <c r="F428" s="12">
        <v>24</v>
      </c>
      <c r="G428" t="s">
        <v>2506</v>
      </c>
    </row>
    <row r="429" spans="1:7">
      <c r="A429" s="6" t="s">
        <v>1526</v>
      </c>
      <c r="B429" t="s">
        <v>965</v>
      </c>
      <c r="C429" t="s">
        <v>966</v>
      </c>
      <c r="D429" t="s">
        <v>1527</v>
      </c>
      <c r="E429" t="s">
        <v>1267</v>
      </c>
      <c r="F429" s="12">
        <v>20</v>
      </c>
      <c r="G429" t="s">
        <v>2481</v>
      </c>
    </row>
    <row r="430" spans="1:7">
      <c r="A430" s="6" t="s">
        <v>1528</v>
      </c>
      <c r="B430" t="s">
        <v>965</v>
      </c>
      <c r="C430" t="s">
        <v>966</v>
      </c>
      <c r="D430" t="s">
        <v>1529</v>
      </c>
      <c r="E430" t="s">
        <v>1354</v>
      </c>
      <c r="F430" s="12">
        <v>48</v>
      </c>
      <c r="G430" t="s">
        <v>2478</v>
      </c>
    </row>
    <row r="431" spans="1:7">
      <c r="A431" s="6" t="s">
        <v>1530</v>
      </c>
      <c r="B431" t="s">
        <v>965</v>
      </c>
      <c r="C431" t="s">
        <v>966</v>
      </c>
      <c r="D431" t="s">
        <v>1531</v>
      </c>
      <c r="E431" t="s">
        <v>1370</v>
      </c>
      <c r="F431" s="12">
        <v>25</v>
      </c>
      <c r="G431" t="s">
        <v>2513</v>
      </c>
    </row>
    <row r="432" spans="1:7">
      <c r="A432" s="6" t="s">
        <v>1532</v>
      </c>
      <c r="B432" t="s">
        <v>965</v>
      </c>
      <c r="C432" t="s">
        <v>966</v>
      </c>
      <c r="D432" t="s">
        <v>1533</v>
      </c>
      <c r="E432" t="s">
        <v>1370</v>
      </c>
      <c r="F432" s="12">
        <v>21</v>
      </c>
      <c r="G432" t="s">
        <v>2516</v>
      </c>
    </row>
    <row r="433" spans="1:7">
      <c r="A433" s="6"/>
      <c r="F433" t="e">
        <v>#VALUE!</v>
      </c>
      <c r="G433" t="e">
        <v>#VALUE!</v>
      </c>
    </row>
    <row r="434" spans="1:7">
      <c r="A434" s="6" t="s">
        <v>1534</v>
      </c>
      <c r="B434" t="s">
        <v>965</v>
      </c>
      <c r="C434" t="s">
        <v>966</v>
      </c>
      <c r="D434" t="s">
        <v>1535</v>
      </c>
      <c r="E434" t="s">
        <v>1202</v>
      </c>
      <c r="F434" s="12">
        <v>36</v>
      </c>
      <c r="G434" t="s">
        <v>2473</v>
      </c>
    </row>
    <row r="435" spans="1:7">
      <c r="A435" s="6" t="s">
        <v>1536</v>
      </c>
      <c r="B435" t="s">
        <v>965</v>
      </c>
      <c r="C435" t="s">
        <v>966</v>
      </c>
      <c r="D435" t="s">
        <v>1537</v>
      </c>
      <c r="E435" t="s">
        <v>1354</v>
      </c>
      <c r="F435" s="12">
        <v>45</v>
      </c>
      <c r="G435" t="s">
        <v>2470</v>
      </c>
    </row>
    <row r="436" spans="1:7">
      <c r="A436" s="6" t="s">
        <v>1538</v>
      </c>
      <c r="B436" t="s">
        <v>965</v>
      </c>
      <c r="C436" t="s">
        <v>966</v>
      </c>
      <c r="D436" t="s">
        <v>1539</v>
      </c>
      <c r="E436" t="s">
        <v>1370</v>
      </c>
      <c r="F436" s="12">
        <v>19</v>
      </c>
      <c r="G436" t="s">
        <v>2483</v>
      </c>
    </row>
    <row r="437" spans="1:7">
      <c r="A437" s="6" t="s">
        <v>1540</v>
      </c>
      <c r="B437" t="s">
        <v>965</v>
      </c>
      <c r="C437" t="s">
        <v>966</v>
      </c>
      <c r="D437" t="s">
        <v>1541</v>
      </c>
      <c r="E437" t="s">
        <v>1354</v>
      </c>
      <c r="F437" s="12">
        <v>20</v>
      </c>
      <c r="G437" t="s">
        <v>2481</v>
      </c>
    </row>
    <row r="438" spans="1:7">
      <c r="A438" s="6" t="s">
        <v>1542</v>
      </c>
      <c r="B438" t="s">
        <v>965</v>
      </c>
      <c r="C438" t="s">
        <v>966</v>
      </c>
      <c r="D438" t="s">
        <v>1543</v>
      </c>
      <c r="E438" t="s">
        <v>968</v>
      </c>
      <c r="F438" s="12">
        <v>45</v>
      </c>
      <c r="G438" t="s">
        <v>2470</v>
      </c>
    </row>
    <row r="439" spans="1:7">
      <c r="A439" s="6" t="s">
        <v>1544</v>
      </c>
      <c r="B439" t="s">
        <v>965</v>
      </c>
      <c r="C439" t="s">
        <v>966</v>
      </c>
      <c r="D439" t="s">
        <v>1545</v>
      </c>
      <c r="E439" t="s">
        <v>1052</v>
      </c>
      <c r="F439" s="12">
        <v>45</v>
      </c>
      <c r="G439" t="s">
        <v>2470</v>
      </c>
    </row>
    <row r="440" spans="1:7">
      <c r="A440" s="6"/>
      <c r="F440" t="e">
        <v>#VALUE!</v>
      </c>
      <c r="G440" t="e">
        <v>#VALUE!</v>
      </c>
    </row>
    <row r="441" spans="1:7">
      <c r="A441" s="6" t="s">
        <v>1546</v>
      </c>
      <c r="B441" t="s">
        <v>965</v>
      </c>
      <c r="C441" t="s">
        <v>966</v>
      </c>
      <c r="D441" t="s">
        <v>1547</v>
      </c>
      <c r="E441" t="s">
        <v>968</v>
      </c>
      <c r="F441" t="s">
        <v>2436</v>
      </c>
      <c r="G441" t="e">
        <v>#VALUE!</v>
      </c>
    </row>
    <row r="442" spans="1:7">
      <c r="A442" s="6" t="s">
        <v>1548</v>
      </c>
      <c r="B442" t="s">
        <v>965</v>
      </c>
      <c r="C442" t="s">
        <v>966</v>
      </c>
      <c r="D442" t="s">
        <v>1549</v>
      </c>
      <c r="E442" t="s">
        <v>968</v>
      </c>
      <c r="F442" s="12">
        <v>35</v>
      </c>
      <c r="G442" t="s">
        <v>2491</v>
      </c>
    </row>
    <row r="443" spans="1:7">
      <c r="A443" s="6" t="s">
        <v>1550</v>
      </c>
      <c r="B443" t="s">
        <v>965</v>
      </c>
      <c r="C443" t="s">
        <v>966</v>
      </c>
      <c r="D443" t="s">
        <v>1551</v>
      </c>
      <c r="E443" t="s">
        <v>1267</v>
      </c>
      <c r="F443" s="12">
        <v>20</v>
      </c>
      <c r="G443" t="s">
        <v>2481</v>
      </c>
    </row>
    <row r="444" spans="1:7">
      <c r="A444" s="6"/>
      <c r="F444" t="e">
        <v>#VALUE!</v>
      </c>
      <c r="G444" t="e">
        <v>#VALUE!</v>
      </c>
    </row>
    <row r="445" spans="1:7">
      <c r="A445" s="6" t="s">
        <v>1552</v>
      </c>
      <c r="B445" t="s">
        <v>965</v>
      </c>
      <c r="C445" t="s">
        <v>966</v>
      </c>
      <c r="D445" t="s">
        <v>1553</v>
      </c>
      <c r="E445" t="s">
        <v>1272</v>
      </c>
      <c r="F445" t="s">
        <v>2436</v>
      </c>
      <c r="G445" t="e">
        <v>#VALUE!</v>
      </c>
    </row>
    <row r="446" spans="1:7">
      <c r="A446" s="6"/>
      <c r="F446" t="e">
        <v>#VALUE!</v>
      </c>
      <c r="G446" t="e">
        <v>#VALUE!</v>
      </c>
    </row>
    <row r="447" spans="1:7">
      <c r="A447" s="6" t="s">
        <v>1554</v>
      </c>
      <c r="B447" t="s">
        <v>965</v>
      </c>
      <c r="C447" t="s">
        <v>966</v>
      </c>
      <c r="D447" t="s">
        <v>1555</v>
      </c>
      <c r="E447" t="s">
        <v>1031</v>
      </c>
      <c r="F447" s="12">
        <v>56</v>
      </c>
      <c r="G447" t="s">
        <v>2512</v>
      </c>
    </row>
    <row r="448" spans="1:7">
      <c r="A448" s="6"/>
      <c r="F448" t="e">
        <v>#VALUE!</v>
      </c>
      <c r="G448" t="e">
        <v>#VALUE!</v>
      </c>
    </row>
    <row r="449" spans="1:7">
      <c r="A449" s="6" t="s">
        <v>1556</v>
      </c>
      <c r="B449" t="s">
        <v>965</v>
      </c>
      <c r="C449" t="s">
        <v>966</v>
      </c>
      <c r="D449" t="s">
        <v>1557</v>
      </c>
      <c r="E449" t="s">
        <v>1031</v>
      </c>
      <c r="F449" s="12">
        <v>40</v>
      </c>
      <c r="G449" t="s">
        <v>2489</v>
      </c>
    </row>
    <row r="450" spans="1:7">
      <c r="A450" s="6"/>
      <c r="F450" t="e">
        <v>#VALUE!</v>
      </c>
      <c r="G450" t="e">
        <v>#VALUE!</v>
      </c>
    </row>
    <row r="451" spans="1:7">
      <c r="A451" s="6" t="s">
        <v>1558</v>
      </c>
      <c r="B451" t="s">
        <v>965</v>
      </c>
      <c r="C451" t="s">
        <v>966</v>
      </c>
      <c r="D451" t="s">
        <v>1559</v>
      </c>
      <c r="E451" t="s">
        <v>1026</v>
      </c>
      <c r="F451" s="12">
        <v>18</v>
      </c>
      <c r="G451" t="s">
        <v>2477</v>
      </c>
    </row>
    <row r="452" spans="1:7">
      <c r="A452" s="6"/>
      <c r="F452" t="e">
        <v>#VALUE!</v>
      </c>
      <c r="G452" t="e">
        <v>#VALUE!</v>
      </c>
    </row>
    <row r="453" spans="1:7">
      <c r="A453" s="6" t="s">
        <v>1560</v>
      </c>
      <c r="B453" t="s">
        <v>965</v>
      </c>
      <c r="C453" t="s">
        <v>966</v>
      </c>
      <c r="D453" t="s">
        <v>1561</v>
      </c>
      <c r="E453" t="s">
        <v>986</v>
      </c>
      <c r="F453" s="12">
        <v>65</v>
      </c>
      <c r="G453" t="s">
        <v>2514</v>
      </c>
    </row>
    <row r="454" spans="1:7">
      <c r="A454" s="6"/>
      <c r="F454" t="e">
        <v>#VALUE!</v>
      </c>
      <c r="G454" t="e">
        <v>#VALUE!</v>
      </c>
    </row>
    <row r="455" spans="1:7">
      <c r="A455" s="6" t="s">
        <v>1562</v>
      </c>
      <c r="B455" t="s">
        <v>965</v>
      </c>
      <c r="C455" t="s">
        <v>966</v>
      </c>
      <c r="D455" t="s">
        <v>1563</v>
      </c>
      <c r="E455" t="s">
        <v>995</v>
      </c>
      <c r="F455" s="12">
        <v>61</v>
      </c>
      <c r="G455" t="s">
        <v>2521</v>
      </c>
    </row>
    <row r="456" spans="1:7">
      <c r="A456" s="6" t="s">
        <v>1564</v>
      </c>
      <c r="B456" t="s">
        <v>965</v>
      </c>
      <c r="C456" t="s">
        <v>966</v>
      </c>
      <c r="D456" t="s">
        <v>1565</v>
      </c>
      <c r="E456" t="s">
        <v>968</v>
      </c>
      <c r="F456" s="12">
        <v>49</v>
      </c>
      <c r="G456" t="s">
        <v>2493</v>
      </c>
    </row>
    <row r="457" spans="1:7">
      <c r="A457" s="6" t="s">
        <v>1566</v>
      </c>
      <c r="B457" t="s">
        <v>965</v>
      </c>
      <c r="C457" t="s">
        <v>966</v>
      </c>
      <c r="D457" t="s">
        <v>1567</v>
      </c>
      <c r="E457" t="s">
        <v>968</v>
      </c>
      <c r="F457" s="12">
        <v>27</v>
      </c>
      <c r="G457" t="s">
        <v>2509</v>
      </c>
    </row>
    <row r="458" spans="1:7">
      <c r="A458" s="6"/>
      <c r="F458" t="e">
        <v>#VALUE!</v>
      </c>
      <c r="G458" t="e">
        <v>#VALUE!</v>
      </c>
    </row>
    <row r="459" spans="1:7">
      <c r="A459" s="6" t="s">
        <v>1568</v>
      </c>
      <c r="B459" t="s">
        <v>965</v>
      </c>
      <c r="C459" t="s">
        <v>966</v>
      </c>
      <c r="D459" t="s">
        <v>1569</v>
      </c>
      <c r="E459" t="s">
        <v>1020</v>
      </c>
      <c r="F459" s="12">
        <v>58</v>
      </c>
      <c r="G459" t="s">
        <v>2518</v>
      </c>
    </row>
    <row r="460" spans="1:7">
      <c r="A460" s="6"/>
      <c r="F460" t="e">
        <v>#VALUE!</v>
      </c>
      <c r="G460" t="e">
        <v>#VALUE!</v>
      </c>
    </row>
    <row r="461" spans="1:7">
      <c r="A461" s="6" t="s">
        <v>1570</v>
      </c>
      <c r="B461" t="s">
        <v>965</v>
      </c>
      <c r="C461" t="s">
        <v>966</v>
      </c>
      <c r="D461" t="s">
        <v>1571</v>
      </c>
      <c r="E461" t="s">
        <v>973</v>
      </c>
      <c r="F461" s="12">
        <v>35</v>
      </c>
      <c r="G461" t="s">
        <v>2491</v>
      </c>
    </row>
    <row r="462" spans="1:7">
      <c r="A462" s="6"/>
      <c r="F462" t="e">
        <v>#VALUE!</v>
      </c>
      <c r="G462" t="e">
        <v>#VALUE!</v>
      </c>
    </row>
    <row r="463" spans="1:7">
      <c r="A463" s="6" t="s">
        <v>1572</v>
      </c>
      <c r="B463" t="s">
        <v>965</v>
      </c>
      <c r="C463" t="s">
        <v>966</v>
      </c>
      <c r="D463" t="s">
        <v>1573</v>
      </c>
      <c r="E463" t="s">
        <v>1026</v>
      </c>
      <c r="F463" s="12">
        <v>40</v>
      </c>
      <c r="G463" t="s">
        <v>2489</v>
      </c>
    </row>
    <row r="464" spans="1:7">
      <c r="A464" s="6" t="s">
        <v>369</v>
      </c>
      <c r="B464" t="s">
        <v>965</v>
      </c>
      <c r="C464" t="s">
        <v>966</v>
      </c>
      <c r="D464" t="s">
        <v>1574</v>
      </c>
      <c r="E464" t="s">
        <v>1026</v>
      </c>
      <c r="F464" s="12">
        <v>46</v>
      </c>
      <c r="G464" t="s">
        <v>2504</v>
      </c>
    </row>
    <row r="465" spans="1:7">
      <c r="A465" s="6"/>
      <c r="F465" t="e">
        <v>#VALUE!</v>
      </c>
      <c r="G465" t="e">
        <v>#VALUE!</v>
      </c>
    </row>
    <row r="466" spans="1:7">
      <c r="A466" s="6" t="s">
        <v>1575</v>
      </c>
      <c r="B466" t="s">
        <v>965</v>
      </c>
      <c r="C466" t="s">
        <v>966</v>
      </c>
      <c r="D466" t="s">
        <v>1576</v>
      </c>
      <c r="E466" t="s">
        <v>1026</v>
      </c>
      <c r="F466" s="12">
        <v>38</v>
      </c>
      <c r="G466" t="s">
        <v>2488</v>
      </c>
    </row>
    <row r="467" spans="1:7">
      <c r="A467" s="6"/>
      <c r="F467" t="e">
        <v>#VALUE!</v>
      </c>
      <c r="G467" t="e">
        <v>#VALUE!</v>
      </c>
    </row>
    <row r="468" spans="1:7">
      <c r="A468" s="6" t="s">
        <v>370</v>
      </c>
      <c r="B468" t="s">
        <v>965</v>
      </c>
      <c r="C468" t="s">
        <v>966</v>
      </c>
      <c r="D468" t="s">
        <v>1577</v>
      </c>
      <c r="E468" t="s">
        <v>968</v>
      </c>
      <c r="F468" s="12">
        <v>34</v>
      </c>
      <c r="G468" t="s">
        <v>2496</v>
      </c>
    </row>
    <row r="469" spans="1:7">
      <c r="A469" s="6"/>
      <c r="F469" t="e">
        <v>#VALUE!</v>
      </c>
      <c r="G469" t="e">
        <v>#VALUE!</v>
      </c>
    </row>
    <row r="470" spans="1:7">
      <c r="A470" s="6" t="s">
        <v>1578</v>
      </c>
      <c r="B470" t="s">
        <v>965</v>
      </c>
      <c r="C470" t="s">
        <v>966</v>
      </c>
      <c r="D470" t="s">
        <v>1579</v>
      </c>
      <c r="E470" t="s">
        <v>986</v>
      </c>
      <c r="F470" s="12">
        <v>26</v>
      </c>
      <c r="G470" t="s">
        <v>2497</v>
      </c>
    </row>
    <row r="471" spans="1:7">
      <c r="A471" s="6"/>
      <c r="F471" t="e">
        <v>#VALUE!</v>
      </c>
      <c r="G471" t="e">
        <v>#VALUE!</v>
      </c>
    </row>
    <row r="472" spans="1:7">
      <c r="A472" s="6" t="s">
        <v>1580</v>
      </c>
      <c r="B472" t="s">
        <v>965</v>
      </c>
      <c r="C472" t="s">
        <v>966</v>
      </c>
      <c r="D472" t="s">
        <v>1581</v>
      </c>
      <c r="E472" t="s">
        <v>1272</v>
      </c>
      <c r="F472" t="s">
        <v>2436</v>
      </c>
      <c r="G472" t="e">
        <v>#VALUE!</v>
      </c>
    </row>
    <row r="473" spans="1:7">
      <c r="A473" s="6"/>
      <c r="F473" t="e">
        <v>#VALUE!</v>
      </c>
      <c r="G473" t="e">
        <v>#VALUE!</v>
      </c>
    </row>
    <row r="474" spans="1:7">
      <c r="A474" s="6" t="s">
        <v>1582</v>
      </c>
      <c r="B474" t="s">
        <v>965</v>
      </c>
      <c r="C474" t="s">
        <v>966</v>
      </c>
      <c r="D474" t="s">
        <v>1583</v>
      </c>
      <c r="E474" t="s">
        <v>1007</v>
      </c>
      <c r="F474" s="12">
        <v>24</v>
      </c>
      <c r="G474" t="s">
        <v>2506</v>
      </c>
    </row>
    <row r="475" spans="1:7">
      <c r="A475" s="6" t="s">
        <v>1584</v>
      </c>
      <c r="B475" t="s">
        <v>965</v>
      </c>
      <c r="C475" t="s">
        <v>966</v>
      </c>
      <c r="D475" t="s">
        <v>1585</v>
      </c>
      <c r="E475" t="s">
        <v>1007</v>
      </c>
      <c r="F475" s="12">
        <v>34</v>
      </c>
      <c r="G475" t="s">
        <v>2496</v>
      </c>
    </row>
    <row r="476" spans="1:7">
      <c r="A476" s="6" t="s">
        <v>1586</v>
      </c>
      <c r="B476" t="s">
        <v>965</v>
      </c>
      <c r="C476" t="s">
        <v>966</v>
      </c>
      <c r="D476" t="s">
        <v>1587</v>
      </c>
      <c r="E476" t="s">
        <v>1007</v>
      </c>
      <c r="F476" s="12">
        <v>28</v>
      </c>
      <c r="G476" t="s">
        <v>2487</v>
      </c>
    </row>
    <row r="477" spans="1:7">
      <c r="A477" s="6" t="s">
        <v>1588</v>
      </c>
      <c r="B477" t="s">
        <v>965</v>
      </c>
      <c r="C477" t="s">
        <v>966</v>
      </c>
      <c r="D477" t="s">
        <v>1589</v>
      </c>
      <c r="E477" t="s">
        <v>1007</v>
      </c>
      <c r="F477" s="12">
        <v>45</v>
      </c>
      <c r="G477" t="s">
        <v>2470</v>
      </c>
    </row>
    <row r="478" spans="1:7">
      <c r="A478" s="6"/>
      <c r="F478" t="e">
        <v>#VALUE!</v>
      </c>
      <c r="G478" t="e">
        <v>#VALUE!</v>
      </c>
    </row>
    <row r="479" spans="1:7">
      <c r="A479" s="6" t="s">
        <v>1590</v>
      </c>
      <c r="B479" t="s">
        <v>965</v>
      </c>
      <c r="C479" t="s">
        <v>966</v>
      </c>
      <c r="D479" t="s">
        <v>1591</v>
      </c>
      <c r="E479" t="s">
        <v>1007</v>
      </c>
      <c r="F479" s="12">
        <v>47</v>
      </c>
      <c r="G479" t="s">
        <v>2495</v>
      </c>
    </row>
    <row r="480" spans="1:7">
      <c r="A480" s="6"/>
      <c r="F480" t="e">
        <v>#VALUE!</v>
      </c>
      <c r="G480" t="e">
        <v>#VALUE!</v>
      </c>
    </row>
    <row r="481" spans="1:7">
      <c r="A481" s="6" t="s">
        <v>1592</v>
      </c>
      <c r="B481" t="s">
        <v>965</v>
      </c>
      <c r="C481" t="s">
        <v>966</v>
      </c>
      <c r="D481" t="s">
        <v>1593</v>
      </c>
      <c r="E481" t="s">
        <v>1272</v>
      </c>
      <c r="F481" t="s">
        <v>2436</v>
      </c>
      <c r="G481" t="e">
        <v>#VALUE!</v>
      </c>
    </row>
    <row r="482" spans="1:7">
      <c r="A482" s="6"/>
      <c r="F482" t="e">
        <v>#VALUE!</v>
      </c>
      <c r="G482" t="e">
        <v>#VALUE!</v>
      </c>
    </row>
    <row r="483" spans="1:7">
      <c r="A483" s="6" t="s">
        <v>1594</v>
      </c>
      <c r="B483" t="s">
        <v>965</v>
      </c>
      <c r="C483" t="s">
        <v>966</v>
      </c>
      <c r="D483" t="s">
        <v>1595</v>
      </c>
      <c r="E483" t="s">
        <v>1272</v>
      </c>
      <c r="F483" t="s">
        <v>2436</v>
      </c>
      <c r="G483" t="e">
        <v>#VALUE!</v>
      </c>
    </row>
    <row r="484" spans="1:7">
      <c r="A484" s="6"/>
      <c r="F484" t="e">
        <v>#VALUE!</v>
      </c>
      <c r="G484" t="e">
        <v>#VALUE!</v>
      </c>
    </row>
    <row r="485" spans="1:7">
      <c r="A485" s="6" t="s">
        <v>376</v>
      </c>
      <c r="B485" t="s">
        <v>965</v>
      </c>
      <c r="C485" t="s">
        <v>966</v>
      </c>
      <c r="D485" t="s">
        <v>1596</v>
      </c>
      <c r="E485" t="s">
        <v>1267</v>
      </c>
      <c r="F485" s="12">
        <v>35</v>
      </c>
      <c r="G485" t="s">
        <v>2491</v>
      </c>
    </row>
    <row r="486" spans="1:7">
      <c r="A486" s="6"/>
      <c r="F486" t="e">
        <v>#VALUE!</v>
      </c>
      <c r="G486" t="e">
        <v>#VALUE!</v>
      </c>
    </row>
    <row r="487" spans="1:7">
      <c r="A487" s="6" t="s">
        <v>1597</v>
      </c>
      <c r="B487" t="s">
        <v>965</v>
      </c>
      <c r="C487" t="s">
        <v>966</v>
      </c>
      <c r="D487" t="s">
        <v>1598</v>
      </c>
      <c r="E487" t="s">
        <v>1009</v>
      </c>
      <c r="F487" s="12">
        <v>38</v>
      </c>
      <c r="G487" t="s">
        <v>2488</v>
      </c>
    </row>
    <row r="488" spans="1:7">
      <c r="A488" s="6" t="s">
        <v>1599</v>
      </c>
      <c r="B488" t="s">
        <v>965</v>
      </c>
      <c r="C488" t="s">
        <v>966</v>
      </c>
      <c r="D488" t="s">
        <v>1600</v>
      </c>
      <c r="E488" t="s">
        <v>1267</v>
      </c>
      <c r="F488" s="12">
        <v>30</v>
      </c>
      <c r="G488" t="s">
        <v>2485</v>
      </c>
    </row>
    <row r="489" spans="1:7">
      <c r="A489" s="6"/>
      <c r="F489" t="e">
        <v>#VALUE!</v>
      </c>
      <c r="G489" t="e">
        <v>#VALUE!</v>
      </c>
    </row>
    <row r="490" spans="1:7">
      <c r="A490" s="6" t="s">
        <v>1601</v>
      </c>
      <c r="B490" t="s">
        <v>965</v>
      </c>
      <c r="C490" t="s">
        <v>966</v>
      </c>
      <c r="D490" t="s">
        <v>1602</v>
      </c>
      <c r="E490" t="s">
        <v>1272</v>
      </c>
      <c r="F490" t="s">
        <v>2436</v>
      </c>
      <c r="G490" t="e">
        <v>#VALUE!</v>
      </c>
    </row>
    <row r="491" spans="1:7">
      <c r="A491" s="6" t="s">
        <v>1603</v>
      </c>
      <c r="B491" t="s">
        <v>965</v>
      </c>
      <c r="C491" t="s">
        <v>966</v>
      </c>
      <c r="D491" t="s">
        <v>1604</v>
      </c>
      <c r="E491" t="s">
        <v>1272</v>
      </c>
      <c r="F491" t="s">
        <v>2436</v>
      </c>
      <c r="G491" t="e">
        <v>#VALUE!</v>
      </c>
    </row>
    <row r="492" spans="1:7">
      <c r="A492" s="6"/>
      <c r="F492" t="e">
        <v>#VALUE!</v>
      </c>
      <c r="G492" t="e">
        <v>#VALUE!</v>
      </c>
    </row>
    <row r="493" spans="1:7">
      <c r="A493" s="6" t="s">
        <v>1605</v>
      </c>
      <c r="B493" t="s">
        <v>965</v>
      </c>
      <c r="C493" t="s">
        <v>966</v>
      </c>
      <c r="D493" t="s">
        <v>1606</v>
      </c>
      <c r="E493" t="s">
        <v>995</v>
      </c>
      <c r="F493" s="12">
        <v>25</v>
      </c>
      <c r="G493" t="s">
        <v>2513</v>
      </c>
    </row>
    <row r="494" spans="1:7">
      <c r="A494" s="6" t="s">
        <v>1607</v>
      </c>
      <c r="B494" t="s">
        <v>965</v>
      </c>
      <c r="C494" t="s">
        <v>966</v>
      </c>
      <c r="D494" t="s">
        <v>1608</v>
      </c>
      <c r="E494" t="s">
        <v>1005</v>
      </c>
      <c r="F494" s="12">
        <v>47</v>
      </c>
      <c r="G494" t="s">
        <v>2495</v>
      </c>
    </row>
    <row r="495" spans="1:7">
      <c r="A495" s="6" t="s">
        <v>1609</v>
      </c>
      <c r="B495" t="s">
        <v>965</v>
      </c>
      <c r="C495" t="s">
        <v>966</v>
      </c>
      <c r="D495" t="s">
        <v>1610</v>
      </c>
      <c r="E495" t="s">
        <v>968</v>
      </c>
      <c r="F495" s="12">
        <v>54</v>
      </c>
      <c r="G495" t="s">
        <v>2474</v>
      </c>
    </row>
    <row r="496" spans="1:7">
      <c r="A496" s="6"/>
      <c r="F496" t="e">
        <v>#VALUE!</v>
      </c>
      <c r="G496" t="e">
        <v>#VALUE!</v>
      </c>
    </row>
    <row r="497" spans="1:7">
      <c r="A497" s="6" t="s">
        <v>1611</v>
      </c>
      <c r="B497" t="s">
        <v>965</v>
      </c>
      <c r="C497" t="s">
        <v>966</v>
      </c>
      <c r="D497" t="s">
        <v>1612</v>
      </c>
      <c r="E497" t="s">
        <v>968</v>
      </c>
      <c r="F497" t="s">
        <v>2436</v>
      </c>
      <c r="G497" t="e">
        <v>#VALUE!</v>
      </c>
    </row>
    <row r="498" spans="1:7">
      <c r="A498" s="6" t="s">
        <v>1613</v>
      </c>
      <c r="B498" t="s">
        <v>965</v>
      </c>
      <c r="C498" t="s">
        <v>966</v>
      </c>
      <c r="D498" t="s">
        <v>1614</v>
      </c>
      <c r="E498" t="s">
        <v>973</v>
      </c>
      <c r="F498" s="12">
        <v>32</v>
      </c>
      <c r="G498" t="s">
        <v>2476</v>
      </c>
    </row>
    <row r="499" spans="1:7">
      <c r="A499" s="6" t="s">
        <v>384</v>
      </c>
      <c r="B499" t="s">
        <v>965</v>
      </c>
      <c r="C499" t="s">
        <v>966</v>
      </c>
      <c r="D499" t="s">
        <v>1615</v>
      </c>
      <c r="E499" t="s">
        <v>1052</v>
      </c>
      <c r="F499" s="12">
        <v>33</v>
      </c>
      <c r="G499" t="s">
        <v>2500</v>
      </c>
    </row>
    <row r="500" spans="1:7">
      <c r="A500" s="6" t="s">
        <v>1616</v>
      </c>
      <c r="B500" t="s">
        <v>965</v>
      </c>
      <c r="C500" t="s">
        <v>966</v>
      </c>
      <c r="D500" t="s">
        <v>1617</v>
      </c>
      <c r="E500" t="s">
        <v>968</v>
      </c>
      <c r="F500" t="s">
        <v>2436</v>
      </c>
      <c r="G500" t="e">
        <v>#VALUE!</v>
      </c>
    </row>
    <row r="501" spans="1:7">
      <c r="A501" s="6" t="s">
        <v>1618</v>
      </c>
      <c r="B501" t="s">
        <v>965</v>
      </c>
      <c r="C501" t="s">
        <v>966</v>
      </c>
      <c r="D501" t="s">
        <v>1619</v>
      </c>
      <c r="E501" t="s">
        <v>973</v>
      </c>
      <c r="F501" s="12">
        <v>25</v>
      </c>
      <c r="G501" t="s">
        <v>2513</v>
      </c>
    </row>
    <row r="502" spans="1:7">
      <c r="A502" s="6" t="s">
        <v>1620</v>
      </c>
      <c r="B502" t="s">
        <v>965</v>
      </c>
      <c r="C502" t="s">
        <v>966</v>
      </c>
      <c r="D502" t="s">
        <v>1621</v>
      </c>
      <c r="E502" t="s">
        <v>995</v>
      </c>
      <c r="F502" s="12">
        <v>37</v>
      </c>
      <c r="G502" t="s">
        <v>2507</v>
      </c>
    </row>
    <row r="503" spans="1:7">
      <c r="A503" s="6"/>
      <c r="F503" t="e">
        <v>#VALUE!</v>
      </c>
      <c r="G503" t="e">
        <v>#VALUE!</v>
      </c>
    </row>
    <row r="504" spans="1:7">
      <c r="A504" s="6" t="s">
        <v>1622</v>
      </c>
      <c r="B504" t="s">
        <v>965</v>
      </c>
      <c r="C504" t="s">
        <v>966</v>
      </c>
      <c r="D504" t="s">
        <v>1623</v>
      </c>
      <c r="E504" t="s">
        <v>973</v>
      </c>
      <c r="F504" s="12">
        <v>20</v>
      </c>
      <c r="G504" t="s">
        <v>2481</v>
      </c>
    </row>
    <row r="505" spans="1:7">
      <c r="A505" s="6" t="s">
        <v>1624</v>
      </c>
      <c r="B505" t="s">
        <v>965</v>
      </c>
      <c r="C505" t="s">
        <v>966</v>
      </c>
      <c r="D505" t="s">
        <v>1625</v>
      </c>
      <c r="E505" t="s">
        <v>1052</v>
      </c>
      <c r="F505" s="12">
        <v>33</v>
      </c>
      <c r="G505" t="s">
        <v>2500</v>
      </c>
    </row>
    <row r="506" spans="1:7">
      <c r="A506" s="6"/>
      <c r="F506" t="e">
        <v>#VALUE!</v>
      </c>
      <c r="G506" t="e">
        <v>#VALUE!</v>
      </c>
    </row>
    <row r="507" spans="1:7">
      <c r="A507" s="6" t="s">
        <v>1626</v>
      </c>
      <c r="B507" t="s">
        <v>965</v>
      </c>
      <c r="C507" t="s">
        <v>966</v>
      </c>
      <c r="D507" t="s">
        <v>1627</v>
      </c>
      <c r="E507" t="s">
        <v>1005</v>
      </c>
      <c r="F507" s="12">
        <v>53</v>
      </c>
      <c r="G507" t="s">
        <v>2523</v>
      </c>
    </row>
    <row r="508" spans="1:7">
      <c r="A508" s="6" t="s">
        <v>1628</v>
      </c>
      <c r="B508" t="s">
        <v>965</v>
      </c>
      <c r="C508" t="s">
        <v>966</v>
      </c>
      <c r="D508" t="s">
        <v>1629</v>
      </c>
      <c r="E508" t="s">
        <v>1202</v>
      </c>
      <c r="F508" s="12">
        <v>50</v>
      </c>
      <c r="G508" t="s">
        <v>2490</v>
      </c>
    </row>
    <row r="509" spans="1:7">
      <c r="A509" s="6" t="s">
        <v>1628</v>
      </c>
      <c r="B509" t="s">
        <v>965</v>
      </c>
      <c r="C509" t="s">
        <v>966</v>
      </c>
      <c r="D509" t="s">
        <v>1630</v>
      </c>
      <c r="E509" t="s">
        <v>1005</v>
      </c>
      <c r="F509" s="12">
        <v>46</v>
      </c>
      <c r="G509" t="s">
        <v>2504</v>
      </c>
    </row>
    <row r="510" spans="1:7">
      <c r="A510" s="6" t="s">
        <v>1631</v>
      </c>
      <c r="B510" t="s">
        <v>965</v>
      </c>
      <c r="C510" t="s">
        <v>966</v>
      </c>
      <c r="D510" t="s">
        <v>1632</v>
      </c>
      <c r="E510" t="s">
        <v>986</v>
      </c>
      <c r="F510" s="12">
        <v>50</v>
      </c>
      <c r="G510" t="s">
        <v>2490</v>
      </c>
    </row>
    <row r="511" spans="1:7">
      <c r="A511" s="6" t="s">
        <v>1633</v>
      </c>
      <c r="B511" t="s">
        <v>965</v>
      </c>
      <c r="C511" t="s">
        <v>966</v>
      </c>
      <c r="D511" t="s">
        <v>1634</v>
      </c>
      <c r="E511" t="s">
        <v>1028</v>
      </c>
      <c r="F511" s="12">
        <v>47</v>
      </c>
      <c r="G511" t="s">
        <v>2495</v>
      </c>
    </row>
    <row r="512" spans="1:7">
      <c r="A512" s="6" t="s">
        <v>396</v>
      </c>
      <c r="B512" t="s">
        <v>965</v>
      </c>
      <c r="C512" t="s">
        <v>966</v>
      </c>
      <c r="D512" t="s">
        <v>1635</v>
      </c>
      <c r="E512" t="s">
        <v>1117</v>
      </c>
      <c r="F512" s="12">
        <v>30</v>
      </c>
      <c r="G512" t="s">
        <v>2485</v>
      </c>
    </row>
    <row r="513" spans="1:7">
      <c r="A513" s="6" t="s">
        <v>1636</v>
      </c>
      <c r="B513" t="s">
        <v>965</v>
      </c>
      <c r="C513" t="s">
        <v>966</v>
      </c>
      <c r="D513" t="s">
        <v>1637</v>
      </c>
      <c r="E513" t="s">
        <v>1005</v>
      </c>
      <c r="F513" s="12">
        <v>62</v>
      </c>
      <c r="G513" t="s">
        <v>2505</v>
      </c>
    </row>
    <row r="514" spans="1:7">
      <c r="A514" s="6" t="s">
        <v>1638</v>
      </c>
      <c r="B514" t="s">
        <v>965</v>
      </c>
      <c r="C514" t="s">
        <v>966</v>
      </c>
      <c r="D514" t="s">
        <v>1639</v>
      </c>
      <c r="E514" t="s">
        <v>1022</v>
      </c>
      <c r="F514" s="12">
        <v>23</v>
      </c>
      <c r="G514" t="s">
        <v>2520</v>
      </c>
    </row>
    <row r="515" spans="1:7">
      <c r="A515" s="6" t="s">
        <v>1640</v>
      </c>
      <c r="B515" t="s">
        <v>965</v>
      </c>
      <c r="C515" t="s">
        <v>966</v>
      </c>
      <c r="D515" t="s">
        <v>1641</v>
      </c>
      <c r="E515" t="s">
        <v>1022</v>
      </c>
      <c r="F515" s="12">
        <v>50</v>
      </c>
      <c r="G515" t="s">
        <v>2490</v>
      </c>
    </row>
    <row r="516" spans="1:7">
      <c r="A516" s="6" t="s">
        <v>1642</v>
      </c>
      <c r="B516" t="s">
        <v>965</v>
      </c>
      <c r="C516" t="s">
        <v>966</v>
      </c>
      <c r="D516" t="s">
        <v>1643</v>
      </c>
      <c r="E516" t="s">
        <v>973</v>
      </c>
      <c r="F516" s="12">
        <v>50</v>
      </c>
      <c r="G516" t="s">
        <v>2490</v>
      </c>
    </row>
    <row r="517" spans="1:7">
      <c r="A517" s="6" t="s">
        <v>1644</v>
      </c>
      <c r="B517" t="s">
        <v>965</v>
      </c>
      <c r="C517" t="s">
        <v>966</v>
      </c>
      <c r="D517" t="s">
        <v>1645</v>
      </c>
      <c r="E517" t="s">
        <v>1022</v>
      </c>
      <c r="F517" s="12">
        <v>46</v>
      </c>
      <c r="G517" t="s">
        <v>2504</v>
      </c>
    </row>
    <row r="518" spans="1:7">
      <c r="A518" s="6" t="s">
        <v>1646</v>
      </c>
      <c r="B518" t="s">
        <v>965</v>
      </c>
      <c r="C518" t="s">
        <v>966</v>
      </c>
      <c r="D518" t="s">
        <v>1647</v>
      </c>
      <c r="E518" t="s">
        <v>1005</v>
      </c>
      <c r="F518" s="12">
        <v>46</v>
      </c>
      <c r="G518" t="s">
        <v>2504</v>
      </c>
    </row>
    <row r="519" spans="1:7">
      <c r="A519" s="6" t="s">
        <v>1648</v>
      </c>
      <c r="B519" t="s">
        <v>965</v>
      </c>
      <c r="C519" t="s">
        <v>966</v>
      </c>
      <c r="D519" t="s">
        <v>1649</v>
      </c>
      <c r="E519" t="s">
        <v>1005</v>
      </c>
      <c r="F519" s="12">
        <v>80</v>
      </c>
      <c r="G519" t="s">
        <v>2524</v>
      </c>
    </row>
    <row r="520" spans="1:7">
      <c r="A520" s="6" t="s">
        <v>1650</v>
      </c>
      <c r="B520" t="s">
        <v>965</v>
      </c>
      <c r="C520" t="s">
        <v>966</v>
      </c>
      <c r="D520" t="s">
        <v>1651</v>
      </c>
      <c r="E520" t="s">
        <v>1031</v>
      </c>
      <c r="F520" s="12">
        <v>49</v>
      </c>
      <c r="G520" t="s">
        <v>2493</v>
      </c>
    </row>
    <row r="521" spans="1:7">
      <c r="A521" s="6" t="s">
        <v>1652</v>
      </c>
      <c r="B521" t="s">
        <v>965</v>
      </c>
      <c r="C521" t="s">
        <v>966</v>
      </c>
      <c r="D521" t="s">
        <v>1653</v>
      </c>
      <c r="E521" t="s">
        <v>1117</v>
      </c>
      <c r="F521" s="12">
        <v>55</v>
      </c>
      <c r="G521" t="s">
        <v>2492</v>
      </c>
    </row>
    <row r="522" spans="1:7">
      <c r="A522" s="6" t="s">
        <v>1654</v>
      </c>
      <c r="B522" t="s">
        <v>965</v>
      </c>
      <c r="C522" t="s">
        <v>966</v>
      </c>
      <c r="D522" t="s">
        <v>1655</v>
      </c>
      <c r="E522" t="s">
        <v>973</v>
      </c>
      <c r="F522" s="12">
        <v>56</v>
      </c>
      <c r="G522" t="s">
        <v>2512</v>
      </c>
    </row>
    <row r="523" spans="1:7">
      <c r="A523" s="6" t="s">
        <v>1656</v>
      </c>
      <c r="B523" t="s">
        <v>965</v>
      </c>
      <c r="C523" t="s">
        <v>966</v>
      </c>
      <c r="D523" t="s">
        <v>1657</v>
      </c>
      <c r="E523" t="s">
        <v>973</v>
      </c>
      <c r="F523" s="12">
        <v>44</v>
      </c>
      <c r="G523" t="s">
        <v>2475</v>
      </c>
    </row>
    <row r="524" spans="1:7">
      <c r="A524" s="6" t="s">
        <v>1658</v>
      </c>
      <c r="B524" t="s">
        <v>965</v>
      </c>
      <c r="C524" t="s">
        <v>966</v>
      </c>
      <c r="D524" t="s">
        <v>1659</v>
      </c>
      <c r="E524" t="s">
        <v>1007</v>
      </c>
      <c r="F524" s="12">
        <v>42</v>
      </c>
      <c r="G524" t="s">
        <v>2486</v>
      </c>
    </row>
    <row r="525" spans="1:7">
      <c r="A525" s="6" t="s">
        <v>1660</v>
      </c>
      <c r="B525" t="s">
        <v>965</v>
      </c>
      <c r="C525" t="s">
        <v>966</v>
      </c>
      <c r="D525" t="s">
        <v>1661</v>
      </c>
      <c r="E525" t="s">
        <v>1117</v>
      </c>
      <c r="F525" s="12">
        <v>20</v>
      </c>
      <c r="G525" t="s">
        <v>2481</v>
      </c>
    </row>
    <row r="526" spans="1:7">
      <c r="A526" s="6" t="s">
        <v>1662</v>
      </c>
      <c r="B526" t="s">
        <v>965</v>
      </c>
      <c r="C526" t="s">
        <v>966</v>
      </c>
      <c r="D526" t="s">
        <v>1663</v>
      </c>
      <c r="E526" t="s">
        <v>1202</v>
      </c>
      <c r="F526" s="12">
        <v>28</v>
      </c>
      <c r="G526" t="s">
        <v>2487</v>
      </c>
    </row>
    <row r="527" spans="1:7">
      <c r="A527" s="6" t="s">
        <v>1664</v>
      </c>
      <c r="B527" t="s">
        <v>965</v>
      </c>
      <c r="C527" t="s">
        <v>966</v>
      </c>
      <c r="D527" t="s">
        <v>1665</v>
      </c>
      <c r="E527" t="s">
        <v>1005</v>
      </c>
      <c r="F527" s="12">
        <v>61</v>
      </c>
      <c r="G527" t="s">
        <v>2521</v>
      </c>
    </row>
    <row r="528" spans="1:7">
      <c r="A528" s="6" t="s">
        <v>1666</v>
      </c>
      <c r="B528" t="s">
        <v>965</v>
      </c>
      <c r="C528" t="s">
        <v>966</v>
      </c>
      <c r="D528" t="s">
        <v>1667</v>
      </c>
      <c r="E528" t="s">
        <v>1022</v>
      </c>
      <c r="F528" s="12">
        <v>19</v>
      </c>
      <c r="G528" t="s">
        <v>2483</v>
      </c>
    </row>
    <row r="529" spans="1:7">
      <c r="A529" s="6"/>
      <c r="F529" t="e">
        <v>#VALUE!</v>
      </c>
      <c r="G529" t="e">
        <v>#VALUE!</v>
      </c>
    </row>
    <row r="530" spans="1:7">
      <c r="A530" s="6" t="s">
        <v>1668</v>
      </c>
      <c r="B530" t="s">
        <v>965</v>
      </c>
      <c r="C530" t="s">
        <v>966</v>
      </c>
      <c r="D530" t="s">
        <v>1669</v>
      </c>
      <c r="E530" t="s">
        <v>1202</v>
      </c>
      <c r="F530" s="12">
        <v>45</v>
      </c>
      <c r="G530" t="s">
        <v>2470</v>
      </c>
    </row>
    <row r="531" spans="1:7">
      <c r="A531" s="6" t="s">
        <v>1670</v>
      </c>
      <c r="B531" t="s">
        <v>965</v>
      </c>
      <c r="C531" t="s">
        <v>966</v>
      </c>
      <c r="D531" t="s">
        <v>1671</v>
      </c>
      <c r="E531" t="s">
        <v>1026</v>
      </c>
      <c r="F531" s="12">
        <v>21</v>
      </c>
      <c r="G531" t="s">
        <v>2516</v>
      </c>
    </row>
    <row r="532" spans="1:7">
      <c r="A532" s="6" t="s">
        <v>413</v>
      </c>
      <c r="B532" t="s">
        <v>965</v>
      </c>
      <c r="C532" t="s">
        <v>966</v>
      </c>
      <c r="D532" t="s">
        <v>1672</v>
      </c>
      <c r="E532" t="s">
        <v>1117</v>
      </c>
      <c r="F532" s="12">
        <v>49</v>
      </c>
      <c r="G532" t="s">
        <v>2493</v>
      </c>
    </row>
    <row r="533" spans="1:7">
      <c r="A533" s="6" t="s">
        <v>1673</v>
      </c>
      <c r="B533" t="s">
        <v>965</v>
      </c>
      <c r="C533" t="s">
        <v>966</v>
      </c>
      <c r="D533" t="s">
        <v>1674</v>
      </c>
      <c r="E533" t="s">
        <v>1020</v>
      </c>
      <c r="F533" s="12">
        <v>24</v>
      </c>
      <c r="G533" t="s">
        <v>2506</v>
      </c>
    </row>
    <row r="534" spans="1:7">
      <c r="A534" s="6" t="s">
        <v>414</v>
      </c>
      <c r="B534" t="s">
        <v>965</v>
      </c>
      <c r="C534" t="s">
        <v>966</v>
      </c>
      <c r="D534" t="s">
        <v>1675</v>
      </c>
      <c r="E534" t="s">
        <v>1202</v>
      </c>
      <c r="F534" s="12">
        <v>26</v>
      </c>
      <c r="G534" t="s">
        <v>2497</v>
      </c>
    </row>
    <row r="535" spans="1:7">
      <c r="A535" s="6" t="s">
        <v>1676</v>
      </c>
      <c r="B535" t="s">
        <v>965</v>
      </c>
      <c r="C535" t="s">
        <v>966</v>
      </c>
      <c r="D535" t="s">
        <v>1677</v>
      </c>
      <c r="E535" t="s">
        <v>1022</v>
      </c>
      <c r="F535" s="12">
        <v>47</v>
      </c>
      <c r="G535" t="s">
        <v>2495</v>
      </c>
    </row>
    <row r="536" spans="1:7">
      <c r="A536" s="6" t="s">
        <v>1678</v>
      </c>
      <c r="B536" t="s">
        <v>965</v>
      </c>
      <c r="C536" t="s">
        <v>966</v>
      </c>
      <c r="D536" t="s">
        <v>1679</v>
      </c>
      <c r="E536" t="s">
        <v>1031</v>
      </c>
      <c r="F536" s="12">
        <v>45</v>
      </c>
      <c r="G536" t="s">
        <v>2470</v>
      </c>
    </row>
    <row r="537" spans="1:7">
      <c r="A537" s="6" t="s">
        <v>1680</v>
      </c>
      <c r="B537" t="s">
        <v>965</v>
      </c>
      <c r="C537" t="s">
        <v>966</v>
      </c>
      <c r="D537" t="s">
        <v>1681</v>
      </c>
      <c r="E537" t="s">
        <v>973</v>
      </c>
      <c r="F537" s="12">
        <v>48</v>
      </c>
      <c r="G537" t="s">
        <v>2478</v>
      </c>
    </row>
    <row r="538" spans="1:7">
      <c r="A538" s="6" t="s">
        <v>1682</v>
      </c>
      <c r="B538" t="s">
        <v>965</v>
      </c>
      <c r="C538" t="s">
        <v>966</v>
      </c>
      <c r="D538" t="s">
        <v>1683</v>
      </c>
      <c r="E538" t="s">
        <v>1022</v>
      </c>
      <c r="F538" s="12">
        <v>39</v>
      </c>
      <c r="G538" t="s">
        <v>2515</v>
      </c>
    </row>
    <row r="539" spans="1:7">
      <c r="A539" s="6" t="s">
        <v>1684</v>
      </c>
      <c r="B539" t="s">
        <v>965</v>
      </c>
      <c r="C539" t="s">
        <v>966</v>
      </c>
      <c r="D539" t="s">
        <v>1685</v>
      </c>
      <c r="E539" t="s">
        <v>1026</v>
      </c>
      <c r="F539" s="12">
        <v>26</v>
      </c>
      <c r="G539" t="s">
        <v>2497</v>
      </c>
    </row>
    <row r="540" spans="1:7">
      <c r="A540" s="6" t="s">
        <v>1686</v>
      </c>
      <c r="B540" t="s">
        <v>965</v>
      </c>
      <c r="C540" t="s">
        <v>966</v>
      </c>
      <c r="D540" t="s">
        <v>1687</v>
      </c>
      <c r="E540" t="s">
        <v>1267</v>
      </c>
      <c r="F540" s="12">
        <v>47</v>
      </c>
      <c r="G540" t="s">
        <v>2495</v>
      </c>
    </row>
    <row r="541" spans="1:7">
      <c r="A541" s="6" t="s">
        <v>1688</v>
      </c>
      <c r="B541" t="s">
        <v>965</v>
      </c>
      <c r="C541" t="s">
        <v>966</v>
      </c>
      <c r="D541" t="s">
        <v>1689</v>
      </c>
      <c r="E541" t="s">
        <v>1117</v>
      </c>
      <c r="F541" s="12">
        <v>52</v>
      </c>
      <c r="G541" t="s">
        <v>2499</v>
      </c>
    </row>
    <row r="542" spans="1:7">
      <c r="A542" s="6" t="s">
        <v>1690</v>
      </c>
      <c r="B542" t="s">
        <v>965</v>
      </c>
      <c r="C542" t="s">
        <v>966</v>
      </c>
      <c r="D542" t="s">
        <v>1691</v>
      </c>
      <c r="E542" t="s">
        <v>1117</v>
      </c>
      <c r="F542" s="12">
        <v>24</v>
      </c>
      <c r="G542" t="s">
        <v>2506</v>
      </c>
    </row>
    <row r="543" spans="1:7">
      <c r="A543" s="6" t="s">
        <v>1692</v>
      </c>
      <c r="B543" t="s">
        <v>965</v>
      </c>
      <c r="C543" t="s">
        <v>966</v>
      </c>
      <c r="D543" t="s">
        <v>1693</v>
      </c>
      <c r="E543" t="s">
        <v>1117</v>
      </c>
      <c r="F543" s="12">
        <v>27</v>
      </c>
      <c r="G543" t="s">
        <v>2509</v>
      </c>
    </row>
    <row r="544" spans="1:7">
      <c r="A544" s="6" t="s">
        <v>1694</v>
      </c>
      <c r="B544" t="s">
        <v>965</v>
      </c>
      <c r="C544" t="s">
        <v>966</v>
      </c>
      <c r="D544" t="s">
        <v>1695</v>
      </c>
      <c r="E544" t="s">
        <v>1020</v>
      </c>
      <c r="F544" t="s">
        <v>2436</v>
      </c>
      <c r="G544" t="e">
        <v>#VALUE!</v>
      </c>
    </row>
    <row r="545" spans="1:7">
      <c r="A545" s="6" t="s">
        <v>1696</v>
      </c>
      <c r="B545" t="s">
        <v>965</v>
      </c>
      <c r="C545" t="s">
        <v>966</v>
      </c>
      <c r="D545" t="s">
        <v>1697</v>
      </c>
      <c r="E545" t="s">
        <v>1028</v>
      </c>
      <c r="F545" s="12">
        <v>29</v>
      </c>
      <c r="G545" t="s">
        <v>2503</v>
      </c>
    </row>
    <row r="546" spans="1:7">
      <c r="A546" s="6" t="s">
        <v>1698</v>
      </c>
      <c r="B546" t="s">
        <v>965</v>
      </c>
      <c r="C546" t="s">
        <v>966</v>
      </c>
      <c r="D546" t="s">
        <v>1699</v>
      </c>
      <c r="E546" t="s">
        <v>1022</v>
      </c>
      <c r="F546" s="12">
        <v>35</v>
      </c>
      <c r="G546" t="s">
        <v>2491</v>
      </c>
    </row>
    <row r="547" spans="1:7">
      <c r="A547" s="6" t="s">
        <v>1700</v>
      </c>
      <c r="B547" t="s">
        <v>965</v>
      </c>
      <c r="C547" t="s">
        <v>966</v>
      </c>
      <c r="D547" t="s">
        <v>1701</v>
      </c>
      <c r="E547" t="s">
        <v>1117</v>
      </c>
      <c r="F547" s="12">
        <v>20</v>
      </c>
      <c r="G547" t="s">
        <v>2481</v>
      </c>
    </row>
    <row r="548" spans="1:7">
      <c r="A548" s="6"/>
      <c r="F548" t="e">
        <v>#VALUE!</v>
      </c>
      <c r="G548" t="e">
        <v>#VALUE!</v>
      </c>
    </row>
    <row r="549" spans="1:7">
      <c r="A549" s="6" t="s">
        <v>1702</v>
      </c>
      <c r="B549" t="s">
        <v>965</v>
      </c>
      <c r="C549" t="s">
        <v>966</v>
      </c>
      <c r="D549" t="s">
        <v>1703</v>
      </c>
      <c r="E549" t="s">
        <v>970</v>
      </c>
      <c r="F549" s="12">
        <v>60</v>
      </c>
      <c r="G549" t="s">
        <v>2484</v>
      </c>
    </row>
    <row r="550" spans="1:7">
      <c r="A550" s="6" t="s">
        <v>1704</v>
      </c>
      <c r="B550" t="s">
        <v>965</v>
      </c>
      <c r="C550" t="s">
        <v>966</v>
      </c>
      <c r="D550" t="s">
        <v>1705</v>
      </c>
      <c r="E550" t="s">
        <v>1017</v>
      </c>
      <c r="F550" s="12">
        <v>47</v>
      </c>
      <c r="G550" t="s">
        <v>2495</v>
      </c>
    </row>
    <row r="551" spans="1:7">
      <c r="A551" s="6" t="s">
        <v>1706</v>
      </c>
      <c r="B551" t="s">
        <v>965</v>
      </c>
      <c r="C551" t="s">
        <v>966</v>
      </c>
      <c r="D551" t="s">
        <v>1707</v>
      </c>
      <c r="E551" t="s">
        <v>970</v>
      </c>
      <c r="F551" s="12">
        <v>20</v>
      </c>
      <c r="G551" t="s">
        <v>2481</v>
      </c>
    </row>
    <row r="552" spans="1:7">
      <c r="A552" s="6" t="s">
        <v>1708</v>
      </c>
      <c r="B552" t="s">
        <v>965</v>
      </c>
      <c r="C552" t="s">
        <v>966</v>
      </c>
      <c r="D552" t="s">
        <v>1709</v>
      </c>
      <c r="E552" t="s">
        <v>970</v>
      </c>
      <c r="F552" s="12">
        <v>52</v>
      </c>
      <c r="G552" t="s">
        <v>2499</v>
      </c>
    </row>
    <row r="553" spans="1:7">
      <c r="A553" s="6"/>
      <c r="F553" t="e">
        <v>#VALUE!</v>
      </c>
      <c r="G553" t="e">
        <v>#VALUE!</v>
      </c>
    </row>
    <row r="554" spans="1:7">
      <c r="A554" s="6" t="s">
        <v>1710</v>
      </c>
      <c r="B554" t="s">
        <v>965</v>
      </c>
      <c r="C554" t="s">
        <v>966</v>
      </c>
      <c r="D554" t="s">
        <v>1711</v>
      </c>
      <c r="E554" t="s">
        <v>970</v>
      </c>
      <c r="F554" s="12">
        <v>30</v>
      </c>
      <c r="G554" t="s">
        <v>2485</v>
      </c>
    </row>
    <row r="555" spans="1:7">
      <c r="A555" s="6" t="s">
        <v>1712</v>
      </c>
      <c r="B555" t="s">
        <v>965</v>
      </c>
      <c r="C555" t="s">
        <v>966</v>
      </c>
      <c r="D555" t="s">
        <v>1713</v>
      </c>
      <c r="E555" t="s">
        <v>1017</v>
      </c>
      <c r="F555" s="12">
        <v>41</v>
      </c>
      <c r="G555" t="s">
        <v>2517</v>
      </c>
    </row>
    <row r="556" spans="1:7">
      <c r="A556" s="6" t="s">
        <v>1714</v>
      </c>
      <c r="B556" t="s">
        <v>965</v>
      </c>
      <c r="C556" t="s">
        <v>966</v>
      </c>
      <c r="D556" t="s">
        <v>1715</v>
      </c>
      <c r="E556" t="s">
        <v>970</v>
      </c>
      <c r="F556" s="12">
        <v>50</v>
      </c>
      <c r="G556" t="s">
        <v>2490</v>
      </c>
    </row>
    <row r="557" spans="1:7">
      <c r="A557" s="6" t="s">
        <v>1716</v>
      </c>
      <c r="B557" t="s">
        <v>965</v>
      </c>
      <c r="C557" t="s">
        <v>966</v>
      </c>
      <c r="D557" t="s">
        <v>1717</v>
      </c>
      <c r="E557" t="s">
        <v>970</v>
      </c>
      <c r="F557" s="12">
        <v>20</v>
      </c>
      <c r="G557" t="s">
        <v>2481</v>
      </c>
    </row>
    <row r="558" spans="1:7">
      <c r="A558" s="6"/>
      <c r="F558" t="e">
        <v>#VALUE!</v>
      </c>
      <c r="G558" t="e">
        <v>#VALUE!</v>
      </c>
    </row>
    <row r="559" spans="1:7">
      <c r="A559" s="6" t="s">
        <v>1718</v>
      </c>
      <c r="B559" t="s">
        <v>965</v>
      </c>
      <c r="C559" t="s">
        <v>966</v>
      </c>
      <c r="D559" t="s">
        <v>1719</v>
      </c>
      <c r="E559" t="s">
        <v>1031</v>
      </c>
      <c r="F559" s="12">
        <v>45</v>
      </c>
      <c r="G559" t="s">
        <v>2470</v>
      </c>
    </row>
    <row r="560" spans="1:7">
      <c r="A560" s="6" t="s">
        <v>1720</v>
      </c>
      <c r="B560" t="s">
        <v>965</v>
      </c>
      <c r="C560" t="s">
        <v>966</v>
      </c>
      <c r="D560" t="s">
        <v>1721</v>
      </c>
      <c r="E560" t="s">
        <v>976</v>
      </c>
      <c r="F560" t="s">
        <v>2436</v>
      </c>
      <c r="G560" t="e">
        <v>#VALUE!</v>
      </c>
    </row>
    <row r="561" spans="1:7">
      <c r="A561" s="6"/>
      <c r="F561" t="e">
        <v>#VALUE!</v>
      </c>
      <c r="G561" t="e">
        <v>#VALUE!</v>
      </c>
    </row>
    <row r="562" spans="1:7">
      <c r="A562" s="6" t="s">
        <v>1722</v>
      </c>
      <c r="B562" t="s">
        <v>965</v>
      </c>
      <c r="C562" t="s">
        <v>966</v>
      </c>
      <c r="D562" t="s">
        <v>1723</v>
      </c>
      <c r="E562" t="s">
        <v>1031</v>
      </c>
      <c r="F562" s="12">
        <v>45</v>
      </c>
      <c r="G562" t="s">
        <v>2470</v>
      </c>
    </row>
    <row r="563" spans="1:7">
      <c r="A563" s="6"/>
      <c r="F563" t="e">
        <v>#VALUE!</v>
      </c>
      <c r="G563" t="e">
        <v>#VALUE!</v>
      </c>
    </row>
    <row r="564" spans="1:7">
      <c r="A564" s="6" t="s">
        <v>1724</v>
      </c>
      <c r="B564" t="s">
        <v>965</v>
      </c>
      <c r="C564" t="s">
        <v>966</v>
      </c>
      <c r="D564" t="s">
        <v>1725</v>
      </c>
      <c r="E564" t="s">
        <v>1031</v>
      </c>
      <c r="F564" s="12">
        <v>45</v>
      </c>
      <c r="G564" t="s">
        <v>2470</v>
      </c>
    </row>
    <row r="565" spans="1:7">
      <c r="A565" s="6" t="s">
        <v>1726</v>
      </c>
      <c r="B565" t="s">
        <v>965</v>
      </c>
      <c r="C565" t="s">
        <v>966</v>
      </c>
      <c r="D565" t="s">
        <v>1727</v>
      </c>
      <c r="E565" t="s">
        <v>1272</v>
      </c>
      <c r="F565" t="s">
        <v>2436</v>
      </c>
      <c r="G565" t="e">
        <v>#VALUE!</v>
      </c>
    </row>
    <row r="566" spans="1:7">
      <c r="A566" s="6"/>
      <c r="F566" t="e">
        <v>#VALUE!</v>
      </c>
      <c r="G566" t="e">
        <v>#VALUE!</v>
      </c>
    </row>
    <row r="567" spans="1:7">
      <c r="A567" s="6" t="s">
        <v>1728</v>
      </c>
      <c r="B567" t="s">
        <v>965</v>
      </c>
      <c r="C567" t="s">
        <v>966</v>
      </c>
      <c r="D567" t="s">
        <v>1729</v>
      </c>
      <c r="E567" t="s">
        <v>1031</v>
      </c>
      <c r="F567" s="12">
        <v>40</v>
      </c>
      <c r="G567" t="s">
        <v>2489</v>
      </c>
    </row>
    <row r="568" spans="1:7">
      <c r="A568" s="6"/>
      <c r="F568" t="e">
        <v>#VALUE!</v>
      </c>
      <c r="G568" t="e">
        <v>#VALUE!</v>
      </c>
    </row>
    <row r="569" spans="1:7">
      <c r="A569" s="6" t="s">
        <v>1730</v>
      </c>
      <c r="B569" t="s">
        <v>965</v>
      </c>
      <c r="C569" t="s">
        <v>966</v>
      </c>
      <c r="D569" t="s">
        <v>1731</v>
      </c>
      <c r="E569" t="s">
        <v>1267</v>
      </c>
      <c r="F569" s="12">
        <v>50</v>
      </c>
      <c r="G569" t="s">
        <v>2490</v>
      </c>
    </row>
    <row r="570" spans="1:7">
      <c r="A570" s="6" t="s">
        <v>1732</v>
      </c>
      <c r="B570" t="s">
        <v>965</v>
      </c>
      <c r="C570" t="s">
        <v>966</v>
      </c>
      <c r="D570" t="s">
        <v>1733</v>
      </c>
      <c r="E570" t="s">
        <v>1267</v>
      </c>
      <c r="F570" s="12">
        <v>35</v>
      </c>
      <c r="G570" t="s">
        <v>2491</v>
      </c>
    </row>
    <row r="571" spans="1:7">
      <c r="A571" s="6" t="s">
        <v>1734</v>
      </c>
      <c r="B571" t="s">
        <v>965</v>
      </c>
      <c r="C571" t="s">
        <v>966</v>
      </c>
      <c r="D571" t="s">
        <v>1735</v>
      </c>
      <c r="E571" t="s">
        <v>995</v>
      </c>
      <c r="F571" s="12">
        <v>45</v>
      </c>
      <c r="G571" t="s">
        <v>2470</v>
      </c>
    </row>
    <row r="572" spans="1:7">
      <c r="A572" s="6" t="s">
        <v>1736</v>
      </c>
      <c r="B572" t="s">
        <v>965</v>
      </c>
      <c r="C572" t="s">
        <v>966</v>
      </c>
      <c r="D572" t="s">
        <v>1737</v>
      </c>
      <c r="E572" t="s">
        <v>1052</v>
      </c>
      <c r="F572" s="12">
        <v>31</v>
      </c>
      <c r="G572" t="s">
        <v>2480</v>
      </c>
    </row>
    <row r="573" spans="1:7">
      <c r="A573" s="6" t="s">
        <v>1738</v>
      </c>
      <c r="B573" t="s">
        <v>965</v>
      </c>
      <c r="C573" t="s">
        <v>966</v>
      </c>
      <c r="D573" t="s">
        <v>1739</v>
      </c>
      <c r="E573" t="s">
        <v>968</v>
      </c>
      <c r="F573" s="12">
        <v>25</v>
      </c>
      <c r="G573" t="s">
        <v>2513</v>
      </c>
    </row>
    <row r="574" spans="1:7">
      <c r="A574" s="6"/>
      <c r="F574" t="e">
        <v>#VALUE!</v>
      </c>
      <c r="G574" t="e">
        <v>#VALUE!</v>
      </c>
    </row>
    <row r="575" spans="1:7">
      <c r="A575" s="6" t="s">
        <v>1740</v>
      </c>
      <c r="B575" t="s">
        <v>965</v>
      </c>
      <c r="C575" t="s">
        <v>966</v>
      </c>
      <c r="D575" t="s">
        <v>1741</v>
      </c>
      <c r="E575" t="s">
        <v>1052</v>
      </c>
      <c r="F575" s="12">
        <v>31</v>
      </c>
      <c r="G575" t="s">
        <v>2480</v>
      </c>
    </row>
    <row r="576" spans="1:7">
      <c r="A576" s="6" t="s">
        <v>1742</v>
      </c>
      <c r="B576" t="s">
        <v>965</v>
      </c>
      <c r="C576" t="s">
        <v>966</v>
      </c>
      <c r="D576" t="s">
        <v>1743</v>
      </c>
      <c r="E576" t="s">
        <v>1267</v>
      </c>
      <c r="F576" s="12">
        <v>64</v>
      </c>
      <c r="G576" t="s">
        <v>2511</v>
      </c>
    </row>
    <row r="577" spans="1:7">
      <c r="A577" s="6"/>
      <c r="F577" t="e">
        <v>#VALUE!</v>
      </c>
      <c r="G577" t="e">
        <v>#VALUE!</v>
      </c>
    </row>
    <row r="578" spans="1:7">
      <c r="A578" s="6" t="s">
        <v>1744</v>
      </c>
      <c r="B578" t="s">
        <v>965</v>
      </c>
      <c r="C578" t="s">
        <v>966</v>
      </c>
      <c r="D578" t="s">
        <v>1745</v>
      </c>
      <c r="E578" t="s">
        <v>1128</v>
      </c>
      <c r="F578" s="12">
        <v>52</v>
      </c>
      <c r="G578" t="s">
        <v>2499</v>
      </c>
    </row>
    <row r="579" spans="1:7">
      <c r="A579" s="6" t="s">
        <v>1746</v>
      </c>
      <c r="B579" t="s">
        <v>965</v>
      </c>
      <c r="C579" t="s">
        <v>966</v>
      </c>
      <c r="D579" t="s">
        <v>1747</v>
      </c>
      <c r="E579" t="s">
        <v>986</v>
      </c>
      <c r="F579" s="12">
        <v>25</v>
      </c>
      <c r="G579" t="s">
        <v>2513</v>
      </c>
    </row>
    <row r="580" spans="1:7">
      <c r="A580" s="6"/>
      <c r="F580" t="e">
        <v>#VALUE!</v>
      </c>
      <c r="G580" t="e">
        <v>#VALUE!</v>
      </c>
    </row>
    <row r="581" spans="1:7">
      <c r="A581" s="6" t="s">
        <v>1748</v>
      </c>
      <c r="B581" t="s">
        <v>965</v>
      </c>
      <c r="C581" t="s">
        <v>966</v>
      </c>
      <c r="D581" t="s">
        <v>1749</v>
      </c>
      <c r="E581" t="s">
        <v>1128</v>
      </c>
      <c r="F581" s="12">
        <v>38</v>
      </c>
      <c r="G581" t="s">
        <v>2488</v>
      </c>
    </row>
    <row r="582" spans="1:7">
      <c r="A582" s="6" t="s">
        <v>1750</v>
      </c>
      <c r="B582" t="s">
        <v>965</v>
      </c>
      <c r="C582" t="s">
        <v>966</v>
      </c>
      <c r="D582" t="s">
        <v>1751</v>
      </c>
      <c r="E582" t="s">
        <v>986</v>
      </c>
      <c r="F582" s="12">
        <v>24</v>
      </c>
      <c r="G582" t="s">
        <v>2506</v>
      </c>
    </row>
    <row r="583" spans="1:7">
      <c r="A583" s="6" t="s">
        <v>1752</v>
      </c>
      <c r="B583" t="s">
        <v>965</v>
      </c>
      <c r="C583" t="s">
        <v>966</v>
      </c>
      <c r="D583" t="s">
        <v>1753</v>
      </c>
      <c r="E583" t="s">
        <v>976</v>
      </c>
      <c r="F583" s="12">
        <v>21</v>
      </c>
      <c r="G583" t="s">
        <v>2516</v>
      </c>
    </row>
    <row r="584" spans="1:7">
      <c r="A584" s="6" t="s">
        <v>1754</v>
      </c>
      <c r="B584" t="s">
        <v>965</v>
      </c>
      <c r="C584" t="s">
        <v>966</v>
      </c>
      <c r="D584" t="s">
        <v>1755</v>
      </c>
      <c r="E584" t="s">
        <v>1007</v>
      </c>
      <c r="F584" t="s">
        <v>2436</v>
      </c>
      <c r="G584" t="e">
        <v>#VALUE!</v>
      </c>
    </row>
    <row r="585" spans="1:7">
      <c r="A585" s="6"/>
      <c r="F585" t="e">
        <v>#VALUE!</v>
      </c>
      <c r="G585" t="e">
        <v>#VALUE!</v>
      </c>
    </row>
    <row r="586" spans="1:7">
      <c r="A586" s="6" t="s">
        <v>1756</v>
      </c>
      <c r="B586" t="s">
        <v>965</v>
      </c>
      <c r="C586" t="s">
        <v>966</v>
      </c>
      <c r="D586" t="s">
        <v>1757</v>
      </c>
      <c r="E586" t="s">
        <v>1267</v>
      </c>
      <c r="F586" s="12">
        <v>45</v>
      </c>
      <c r="G586" t="s">
        <v>2470</v>
      </c>
    </row>
    <row r="587" spans="1:7">
      <c r="A587" s="6"/>
      <c r="F587" t="e">
        <v>#VALUE!</v>
      </c>
      <c r="G587" t="e">
        <v>#VALUE!</v>
      </c>
    </row>
    <row r="588" spans="1:7">
      <c r="A588" s="6" t="s">
        <v>1758</v>
      </c>
      <c r="B588" t="s">
        <v>965</v>
      </c>
      <c r="C588" t="s">
        <v>966</v>
      </c>
      <c r="D588" t="s">
        <v>1759</v>
      </c>
      <c r="E588" t="s">
        <v>1020</v>
      </c>
      <c r="F588" s="12">
        <v>24</v>
      </c>
      <c r="G588" t="s">
        <v>2506</v>
      </c>
    </row>
    <row r="589" spans="1:7">
      <c r="A589" s="6"/>
      <c r="F589" t="e">
        <v>#VALUE!</v>
      </c>
      <c r="G589" t="e">
        <v>#VALUE!</v>
      </c>
    </row>
    <row r="590" spans="1:7">
      <c r="A590" s="6" t="s">
        <v>1760</v>
      </c>
      <c r="B590" t="s">
        <v>965</v>
      </c>
      <c r="C590" t="s">
        <v>966</v>
      </c>
      <c r="D590" t="s">
        <v>1761</v>
      </c>
      <c r="E590" t="s">
        <v>986</v>
      </c>
      <c r="F590" s="12">
        <v>48</v>
      </c>
      <c r="G590" t="s">
        <v>2478</v>
      </c>
    </row>
    <row r="591" spans="1:7">
      <c r="A591" s="6"/>
      <c r="F591" t="e">
        <v>#VALUE!</v>
      </c>
      <c r="G591" t="e">
        <v>#VALUE!</v>
      </c>
    </row>
    <row r="592" spans="1:7">
      <c r="A592" s="6" t="s">
        <v>5012</v>
      </c>
      <c r="B592" t="s">
        <v>965</v>
      </c>
      <c r="C592" t="s">
        <v>966</v>
      </c>
      <c r="D592" t="s">
        <v>1762</v>
      </c>
      <c r="E592" t="s">
        <v>1017</v>
      </c>
      <c r="F592" s="12">
        <v>23</v>
      </c>
      <c r="G592" t="s">
        <v>2520</v>
      </c>
    </row>
    <row r="593" spans="1:7">
      <c r="A593" s="6" t="s">
        <v>5013</v>
      </c>
      <c r="B593" t="s">
        <v>965</v>
      </c>
      <c r="C593" t="s">
        <v>966</v>
      </c>
      <c r="D593" t="s">
        <v>1763</v>
      </c>
      <c r="E593" t="s">
        <v>970</v>
      </c>
      <c r="F593" s="12">
        <v>55</v>
      </c>
      <c r="G593" t="s">
        <v>2492</v>
      </c>
    </row>
    <row r="594" spans="1:7">
      <c r="A594" s="6" t="s">
        <v>5014</v>
      </c>
      <c r="B594" t="s">
        <v>965</v>
      </c>
      <c r="C594" t="s">
        <v>966</v>
      </c>
      <c r="D594" t="s">
        <v>1764</v>
      </c>
      <c r="E594" t="s">
        <v>1017</v>
      </c>
      <c r="F594" s="12">
        <v>43</v>
      </c>
      <c r="G594" t="s">
        <v>2494</v>
      </c>
    </row>
    <row r="595" spans="1:7">
      <c r="A595" s="6" t="s">
        <v>5014</v>
      </c>
      <c r="B595" t="s">
        <v>965</v>
      </c>
      <c r="C595" t="s">
        <v>966</v>
      </c>
      <c r="D595" t="s">
        <v>1765</v>
      </c>
      <c r="E595" t="s">
        <v>1009</v>
      </c>
      <c r="F595" s="12">
        <v>29</v>
      </c>
      <c r="G595" t="s">
        <v>2503</v>
      </c>
    </row>
    <row r="596" spans="1:7">
      <c r="A596" s="6" t="s">
        <v>5015</v>
      </c>
      <c r="B596" t="s">
        <v>965</v>
      </c>
      <c r="C596" t="s">
        <v>966</v>
      </c>
      <c r="D596" t="s">
        <v>1766</v>
      </c>
      <c r="E596" t="s">
        <v>1012</v>
      </c>
      <c r="F596" t="s">
        <v>2436</v>
      </c>
      <c r="G596" t="e">
        <v>#VALUE!</v>
      </c>
    </row>
    <row r="597" spans="1:7">
      <c r="A597" s="6" t="s">
        <v>5016</v>
      </c>
      <c r="B597" t="s">
        <v>965</v>
      </c>
      <c r="C597" t="s">
        <v>966</v>
      </c>
      <c r="D597" t="s">
        <v>1767</v>
      </c>
      <c r="E597" t="s">
        <v>1014</v>
      </c>
      <c r="F597" s="12">
        <v>47</v>
      </c>
      <c r="G597" t="s">
        <v>2495</v>
      </c>
    </row>
    <row r="598" spans="1:7">
      <c r="A598" s="6" t="s">
        <v>5017</v>
      </c>
      <c r="B598" t="s">
        <v>965</v>
      </c>
      <c r="C598" t="s">
        <v>966</v>
      </c>
      <c r="D598" t="s">
        <v>1768</v>
      </c>
      <c r="E598" t="s">
        <v>1014</v>
      </c>
      <c r="F598" s="12">
        <v>40</v>
      </c>
      <c r="G598" t="s">
        <v>2489</v>
      </c>
    </row>
    <row r="599" spans="1:7">
      <c r="A599" s="6" t="s">
        <v>5018</v>
      </c>
      <c r="B599" t="s">
        <v>965</v>
      </c>
      <c r="C599" t="s">
        <v>966</v>
      </c>
      <c r="D599" t="s">
        <v>1769</v>
      </c>
      <c r="E599" t="s">
        <v>1028</v>
      </c>
      <c r="F599" s="12">
        <v>27</v>
      </c>
      <c r="G599" t="s">
        <v>2509</v>
      </c>
    </row>
    <row r="600" spans="1:7">
      <c r="A600" s="6" t="s">
        <v>4963</v>
      </c>
      <c r="B600" t="s">
        <v>965</v>
      </c>
      <c r="C600" t="s">
        <v>966</v>
      </c>
      <c r="D600" t="s">
        <v>1770</v>
      </c>
      <c r="E600" t="s">
        <v>1012</v>
      </c>
      <c r="F600" s="12">
        <v>57</v>
      </c>
      <c r="G600" t="s">
        <v>2498</v>
      </c>
    </row>
    <row r="601" spans="1:7">
      <c r="A601" s="6" t="s">
        <v>4909</v>
      </c>
      <c r="B601" t="s">
        <v>965</v>
      </c>
      <c r="C601" t="s">
        <v>966</v>
      </c>
      <c r="D601" t="s">
        <v>1771</v>
      </c>
      <c r="E601" t="s">
        <v>1014</v>
      </c>
      <c r="F601" s="12">
        <v>45</v>
      </c>
      <c r="G601" t="s">
        <v>2470</v>
      </c>
    </row>
    <row r="602" spans="1:7">
      <c r="A602" s="6" t="s">
        <v>5019</v>
      </c>
      <c r="B602" t="s">
        <v>965</v>
      </c>
      <c r="C602" t="s">
        <v>966</v>
      </c>
      <c r="D602" t="s">
        <v>1772</v>
      </c>
      <c r="E602" t="s">
        <v>1012</v>
      </c>
      <c r="F602" s="12">
        <v>24</v>
      </c>
      <c r="G602" t="s">
        <v>2506</v>
      </c>
    </row>
    <row r="603" spans="1:7">
      <c r="A603" s="6" t="s">
        <v>4927</v>
      </c>
      <c r="B603" t="s">
        <v>965</v>
      </c>
      <c r="C603" t="s">
        <v>966</v>
      </c>
      <c r="D603" t="s">
        <v>1773</v>
      </c>
      <c r="E603" t="s">
        <v>1014</v>
      </c>
      <c r="F603" s="12">
        <v>49</v>
      </c>
      <c r="G603" t="s">
        <v>2493</v>
      </c>
    </row>
    <row r="604" spans="1:7">
      <c r="A604" s="6" t="s">
        <v>5020</v>
      </c>
      <c r="B604" t="s">
        <v>965</v>
      </c>
      <c r="C604" t="s">
        <v>966</v>
      </c>
      <c r="D604" t="s">
        <v>1774</v>
      </c>
      <c r="E604" t="s">
        <v>1014</v>
      </c>
      <c r="F604" s="12">
        <v>62</v>
      </c>
      <c r="G604" t="s">
        <v>2505</v>
      </c>
    </row>
    <row r="605" spans="1:7">
      <c r="A605" s="6" t="s">
        <v>5021</v>
      </c>
      <c r="B605" t="s">
        <v>965</v>
      </c>
      <c r="C605" t="s">
        <v>966</v>
      </c>
      <c r="D605" t="s">
        <v>1775</v>
      </c>
      <c r="E605" t="s">
        <v>1022</v>
      </c>
      <c r="F605" s="12">
        <v>48</v>
      </c>
      <c r="G605" t="s">
        <v>2478</v>
      </c>
    </row>
    <row r="606" spans="1:7">
      <c r="A606" s="6" t="s">
        <v>5022</v>
      </c>
      <c r="B606" t="s">
        <v>965</v>
      </c>
      <c r="C606" t="s">
        <v>966</v>
      </c>
      <c r="D606" t="s">
        <v>1776</v>
      </c>
      <c r="E606" t="s">
        <v>1117</v>
      </c>
      <c r="F606" s="12">
        <v>47</v>
      </c>
      <c r="G606" t="s">
        <v>2495</v>
      </c>
    </row>
    <row r="607" spans="1:7">
      <c r="A607" s="6" t="s">
        <v>5023</v>
      </c>
      <c r="B607" t="s">
        <v>965</v>
      </c>
      <c r="C607" t="s">
        <v>966</v>
      </c>
      <c r="D607" t="s">
        <v>1777</v>
      </c>
      <c r="E607" t="s">
        <v>1005</v>
      </c>
      <c r="F607" s="12">
        <v>50</v>
      </c>
      <c r="G607" t="s">
        <v>2490</v>
      </c>
    </row>
    <row r="608" spans="1:7">
      <c r="A608" s="6" t="s">
        <v>5024</v>
      </c>
      <c r="B608" t="s">
        <v>965</v>
      </c>
      <c r="C608" t="s">
        <v>966</v>
      </c>
      <c r="D608" t="s">
        <v>1778</v>
      </c>
      <c r="E608" t="s">
        <v>970</v>
      </c>
      <c r="F608" s="12">
        <v>90</v>
      </c>
      <c r="G608" t="s">
        <v>2525</v>
      </c>
    </row>
    <row r="609" spans="1:7">
      <c r="A609" s="6" t="s">
        <v>5025</v>
      </c>
      <c r="B609" t="s">
        <v>965</v>
      </c>
      <c r="C609" t="s">
        <v>966</v>
      </c>
      <c r="D609" t="s">
        <v>1779</v>
      </c>
      <c r="E609" t="s">
        <v>1014</v>
      </c>
      <c r="F609" s="12">
        <v>55</v>
      </c>
      <c r="G609" t="s">
        <v>2492</v>
      </c>
    </row>
    <row r="610" spans="1:7">
      <c r="A610" s="6" t="s">
        <v>5026</v>
      </c>
      <c r="B610" t="s">
        <v>965</v>
      </c>
      <c r="C610" t="s">
        <v>966</v>
      </c>
      <c r="D610" t="s">
        <v>1780</v>
      </c>
      <c r="E610" t="s">
        <v>1005</v>
      </c>
      <c r="F610" s="12">
        <v>50</v>
      </c>
      <c r="G610" t="s">
        <v>2490</v>
      </c>
    </row>
    <row r="611" spans="1:7">
      <c r="A611" s="6" t="s">
        <v>5027</v>
      </c>
      <c r="B611" t="s">
        <v>965</v>
      </c>
      <c r="C611" t="s">
        <v>966</v>
      </c>
      <c r="D611" t="s">
        <v>1781</v>
      </c>
      <c r="E611" t="s">
        <v>1028</v>
      </c>
      <c r="F611" s="12">
        <v>24</v>
      </c>
      <c r="G611" t="s">
        <v>2506</v>
      </c>
    </row>
    <row r="612" spans="1:7">
      <c r="A612" s="6" t="s">
        <v>5028</v>
      </c>
      <c r="B612" t="s">
        <v>965</v>
      </c>
      <c r="C612" t="s">
        <v>966</v>
      </c>
      <c r="D612" t="s">
        <v>1782</v>
      </c>
      <c r="E612" t="s">
        <v>1017</v>
      </c>
      <c r="F612" s="12">
        <v>38</v>
      </c>
      <c r="G612" t="s">
        <v>2488</v>
      </c>
    </row>
    <row r="613" spans="1:7">
      <c r="A613" s="6" t="s">
        <v>5029</v>
      </c>
      <c r="B613" t="s">
        <v>965</v>
      </c>
      <c r="C613" t="s">
        <v>966</v>
      </c>
      <c r="D613" t="s">
        <v>1783</v>
      </c>
      <c r="E613" t="s">
        <v>1012</v>
      </c>
      <c r="F613" s="12">
        <v>32</v>
      </c>
      <c r="G613" t="s">
        <v>2476</v>
      </c>
    </row>
    <row r="614" spans="1:7">
      <c r="A614" s="6" t="s">
        <v>5030</v>
      </c>
      <c r="B614" t="s">
        <v>965</v>
      </c>
      <c r="C614" t="s">
        <v>966</v>
      </c>
      <c r="D614" t="s">
        <v>1784</v>
      </c>
      <c r="E614" t="s">
        <v>1022</v>
      </c>
      <c r="F614" s="12">
        <v>75</v>
      </c>
      <c r="G614" t="s">
        <v>2522</v>
      </c>
    </row>
    <row r="615" spans="1:7">
      <c r="A615" s="6" t="s">
        <v>4942</v>
      </c>
      <c r="B615" t="s">
        <v>965</v>
      </c>
      <c r="C615" t="s">
        <v>966</v>
      </c>
      <c r="D615" t="s">
        <v>1785</v>
      </c>
      <c r="E615" t="s">
        <v>1028</v>
      </c>
      <c r="F615" s="12">
        <v>77</v>
      </c>
      <c r="G615" t="s">
        <v>2526</v>
      </c>
    </row>
    <row r="616" spans="1:7">
      <c r="A616" s="6" t="s">
        <v>5031</v>
      </c>
      <c r="B616" t="s">
        <v>965</v>
      </c>
      <c r="C616" t="s">
        <v>966</v>
      </c>
      <c r="D616" t="s">
        <v>1786</v>
      </c>
      <c r="E616" t="s">
        <v>1012</v>
      </c>
      <c r="F616" s="12">
        <v>57</v>
      </c>
      <c r="G616" t="s">
        <v>2498</v>
      </c>
    </row>
    <row r="617" spans="1:7">
      <c r="A617" s="6" t="s">
        <v>5032</v>
      </c>
      <c r="B617" t="s">
        <v>965</v>
      </c>
      <c r="C617" t="s">
        <v>966</v>
      </c>
      <c r="D617" t="s">
        <v>1787</v>
      </c>
      <c r="E617" t="s">
        <v>1009</v>
      </c>
      <c r="F617" s="12">
        <v>30</v>
      </c>
      <c r="G617" t="s">
        <v>2485</v>
      </c>
    </row>
    <row r="618" spans="1:7">
      <c r="A618" s="6" t="s">
        <v>4911</v>
      </c>
      <c r="B618" t="s">
        <v>965</v>
      </c>
      <c r="C618" t="s">
        <v>966</v>
      </c>
      <c r="D618" t="s">
        <v>1788</v>
      </c>
      <c r="E618" t="s">
        <v>1014</v>
      </c>
      <c r="F618" s="12">
        <v>47</v>
      </c>
      <c r="G618" t="s">
        <v>2495</v>
      </c>
    </row>
    <row r="619" spans="1:7">
      <c r="A619" s="6" t="s">
        <v>5033</v>
      </c>
      <c r="B619" t="s">
        <v>965</v>
      </c>
      <c r="C619" t="s">
        <v>966</v>
      </c>
      <c r="D619" t="s">
        <v>1789</v>
      </c>
      <c r="E619" t="s">
        <v>1012</v>
      </c>
      <c r="F619" s="12">
        <v>60</v>
      </c>
      <c r="G619" t="s">
        <v>2484</v>
      </c>
    </row>
    <row r="620" spans="1:7">
      <c r="A620" s="6" t="s">
        <v>5034</v>
      </c>
      <c r="B620" t="s">
        <v>965</v>
      </c>
      <c r="C620" t="s">
        <v>966</v>
      </c>
      <c r="D620" t="s">
        <v>1790</v>
      </c>
      <c r="E620" t="s">
        <v>1022</v>
      </c>
      <c r="F620" s="12">
        <v>41</v>
      </c>
      <c r="G620" t="s">
        <v>2517</v>
      </c>
    </row>
    <row r="621" spans="1:7">
      <c r="A621" s="6" t="s">
        <v>5035</v>
      </c>
      <c r="B621" t="s">
        <v>965</v>
      </c>
      <c r="C621" t="s">
        <v>966</v>
      </c>
      <c r="D621" t="s">
        <v>1791</v>
      </c>
      <c r="E621" t="s">
        <v>1026</v>
      </c>
      <c r="F621" s="12">
        <v>46</v>
      </c>
      <c r="G621" t="s">
        <v>2504</v>
      </c>
    </row>
    <row r="622" spans="1:7">
      <c r="A622" s="6" t="s">
        <v>5002</v>
      </c>
      <c r="B622" t="s">
        <v>965</v>
      </c>
      <c r="C622" t="s">
        <v>966</v>
      </c>
      <c r="D622" t="s">
        <v>1792</v>
      </c>
      <c r="E622" t="s">
        <v>1017</v>
      </c>
      <c r="F622" s="12">
        <v>47</v>
      </c>
      <c r="G622" t="s">
        <v>2495</v>
      </c>
    </row>
    <row r="623" spans="1:7">
      <c r="A623" s="6" t="s">
        <v>4913</v>
      </c>
      <c r="B623" t="s">
        <v>965</v>
      </c>
      <c r="C623" t="s">
        <v>966</v>
      </c>
      <c r="D623" t="s">
        <v>1793</v>
      </c>
      <c r="E623" t="s">
        <v>1014</v>
      </c>
      <c r="F623" s="12">
        <v>38</v>
      </c>
      <c r="G623" t="s">
        <v>2488</v>
      </c>
    </row>
    <row r="624" spans="1:7">
      <c r="A624" s="6" t="s">
        <v>5036</v>
      </c>
      <c r="B624" t="s">
        <v>965</v>
      </c>
      <c r="C624" t="s">
        <v>966</v>
      </c>
      <c r="D624" t="s">
        <v>1794</v>
      </c>
      <c r="E624" t="s">
        <v>1272</v>
      </c>
      <c r="F624" t="s">
        <v>2436</v>
      </c>
      <c r="G624" t="e">
        <v>#VALUE!</v>
      </c>
    </row>
    <row r="625" spans="1:7">
      <c r="A625" s="6" t="s">
        <v>5037</v>
      </c>
      <c r="B625" t="s">
        <v>965</v>
      </c>
      <c r="C625" t="s">
        <v>966</v>
      </c>
      <c r="D625" t="s">
        <v>1795</v>
      </c>
      <c r="E625" t="s">
        <v>1012</v>
      </c>
      <c r="F625" s="12">
        <v>46</v>
      </c>
      <c r="G625" t="s">
        <v>2504</v>
      </c>
    </row>
    <row r="626" spans="1:7">
      <c r="A626" s="6" t="s">
        <v>5038</v>
      </c>
      <c r="B626" t="s">
        <v>965</v>
      </c>
      <c r="C626" t="s">
        <v>966</v>
      </c>
      <c r="D626" t="s">
        <v>1796</v>
      </c>
      <c r="E626" t="s">
        <v>1014</v>
      </c>
      <c r="F626" s="12">
        <v>23</v>
      </c>
      <c r="G626" t="s">
        <v>2520</v>
      </c>
    </row>
    <row r="627" spans="1:7">
      <c r="A627" s="6" t="s">
        <v>5039</v>
      </c>
      <c r="B627" t="s">
        <v>965</v>
      </c>
      <c r="C627" t="s">
        <v>966</v>
      </c>
      <c r="D627" t="s">
        <v>1797</v>
      </c>
      <c r="E627" t="s">
        <v>1202</v>
      </c>
      <c r="F627" s="12">
        <v>33</v>
      </c>
      <c r="G627" t="s">
        <v>2500</v>
      </c>
    </row>
    <row r="628" spans="1:7">
      <c r="A628" s="6" t="s">
        <v>4938</v>
      </c>
      <c r="B628" t="s">
        <v>965</v>
      </c>
      <c r="C628" t="s">
        <v>966</v>
      </c>
      <c r="D628" t="s">
        <v>1798</v>
      </c>
      <c r="E628" t="s">
        <v>1014</v>
      </c>
      <c r="F628" s="12">
        <v>19</v>
      </c>
      <c r="G628" t="s">
        <v>2483</v>
      </c>
    </row>
    <row r="629" spans="1:7">
      <c r="A629" s="6" t="s">
        <v>5040</v>
      </c>
      <c r="B629" t="s">
        <v>965</v>
      </c>
      <c r="C629" t="s">
        <v>966</v>
      </c>
      <c r="D629" t="s">
        <v>1799</v>
      </c>
      <c r="E629" t="s">
        <v>1117</v>
      </c>
      <c r="F629" s="12">
        <v>20</v>
      </c>
      <c r="G629" t="s">
        <v>2481</v>
      </c>
    </row>
    <row r="630" spans="1:7">
      <c r="A630" s="6" t="s">
        <v>5041</v>
      </c>
      <c r="B630" t="s">
        <v>965</v>
      </c>
      <c r="C630" t="s">
        <v>966</v>
      </c>
      <c r="D630" t="s">
        <v>1800</v>
      </c>
      <c r="E630" t="s">
        <v>1014</v>
      </c>
      <c r="F630" s="12">
        <v>19</v>
      </c>
      <c r="G630" t="s">
        <v>2483</v>
      </c>
    </row>
    <row r="631" spans="1:7">
      <c r="A631" s="6" t="s">
        <v>5042</v>
      </c>
      <c r="B631" t="s">
        <v>965</v>
      </c>
      <c r="C631" t="s">
        <v>966</v>
      </c>
      <c r="D631" t="s">
        <v>1801</v>
      </c>
      <c r="E631" t="s">
        <v>1012</v>
      </c>
      <c r="F631" s="12">
        <v>25</v>
      </c>
      <c r="G631" t="s">
        <v>2513</v>
      </c>
    </row>
    <row r="632" spans="1:7">
      <c r="A632" s="6" t="s">
        <v>5043</v>
      </c>
      <c r="B632" t="s">
        <v>965</v>
      </c>
      <c r="C632" t="s">
        <v>966</v>
      </c>
      <c r="D632" t="s">
        <v>1802</v>
      </c>
      <c r="E632" t="s">
        <v>1014</v>
      </c>
      <c r="F632" s="12">
        <v>44</v>
      </c>
      <c r="G632" t="s">
        <v>2475</v>
      </c>
    </row>
    <row r="633" spans="1:7">
      <c r="A633" s="6"/>
      <c r="F633" t="e">
        <v>#VALUE!</v>
      </c>
      <c r="G633" t="e">
        <v>#VALUE!</v>
      </c>
    </row>
    <row r="634" spans="1:7">
      <c r="A634" s="6" t="s">
        <v>5044</v>
      </c>
      <c r="B634" t="s">
        <v>965</v>
      </c>
      <c r="C634" t="s">
        <v>966</v>
      </c>
      <c r="D634" t="s">
        <v>1803</v>
      </c>
      <c r="E634" t="s">
        <v>1017</v>
      </c>
      <c r="F634" s="12">
        <v>23</v>
      </c>
      <c r="G634" t="s">
        <v>2520</v>
      </c>
    </row>
    <row r="635" spans="1:7">
      <c r="A635" s="6" t="s">
        <v>5045</v>
      </c>
      <c r="B635" t="s">
        <v>965</v>
      </c>
      <c r="C635" t="s">
        <v>966</v>
      </c>
      <c r="D635" t="s">
        <v>1804</v>
      </c>
      <c r="E635" t="s">
        <v>1026</v>
      </c>
      <c r="F635" s="12">
        <v>35</v>
      </c>
      <c r="G635" t="s">
        <v>2491</v>
      </c>
    </row>
    <row r="636" spans="1:7">
      <c r="A636" s="6" t="s">
        <v>5046</v>
      </c>
      <c r="B636" t="s">
        <v>965</v>
      </c>
      <c r="C636" t="s">
        <v>966</v>
      </c>
      <c r="D636" t="s">
        <v>1805</v>
      </c>
      <c r="E636" t="s">
        <v>1012</v>
      </c>
      <c r="F636" s="12">
        <v>45</v>
      </c>
      <c r="G636" t="s">
        <v>2470</v>
      </c>
    </row>
    <row r="637" spans="1:7">
      <c r="A637" s="6" t="s">
        <v>5047</v>
      </c>
      <c r="B637" t="s">
        <v>965</v>
      </c>
      <c r="C637" t="s">
        <v>966</v>
      </c>
      <c r="D637" t="s">
        <v>1806</v>
      </c>
      <c r="E637" t="s">
        <v>1017</v>
      </c>
      <c r="F637" s="12">
        <v>21</v>
      </c>
      <c r="G637" t="s">
        <v>2516</v>
      </c>
    </row>
    <row r="638" spans="1:7">
      <c r="A638" s="6" t="s">
        <v>5048</v>
      </c>
      <c r="B638" t="s">
        <v>965</v>
      </c>
      <c r="C638" t="s">
        <v>966</v>
      </c>
      <c r="D638" t="s">
        <v>1807</v>
      </c>
      <c r="E638" t="s">
        <v>1014</v>
      </c>
      <c r="F638" s="12">
        <v>24</v>
      </c>
      <c r="G638" t="s">
        <v>2506</v>
      </c>
    </row>
    <row r="639" spans="1:7">
      <c r="A639" s="6" t="s">
        <v>5049</v>
      </c>
      <c r="B639" t="s">
        <v>965</v>
      </c>
      <c r="C639" t="s">
        <v>966</v>
      </c>
      <c r="D639" t="s">
        <v>1808</v>
      </c>
      <c r="E639" t="s">
        <v>1012</v>
      </c>
      <c r="F639" s="12">
        <v>50</v>
      </c>
      <c r="G639" t="s">
        <v>2490</v>
      </c>
    </row>
    <row r="640" spans="1:7">
      <c r="A640" s="6" t="s">
        <v>5050</v>
      </c>
      <c r="B640" t="s">
        <v>965</v>
      </c>
      <c r="C640" t="s">
        <v>966</v>
      </c>
      <c r="D640" t="s">
        <v>1809</v>
      </c>
      <c r="E640" t="s">
        <v>1022</v>
      </c>
      <c r="F640" s="12">
        <v>33</v>
      </c>
      <c r="G640" t="s">
        <v>2500</v>
      </c>
    </row>
    <row r="641" spans="1:7">
      <c r="A641" s="6" t="s">
        <v>4905</v>
      </c>
      <c r="B641" t="s">
        <v>965</v>
      </c>
      <c r="C641" t="s">
        <v>966</v>
      </c>
      <c r="D641" t="s">
        <v>1810</v>
      </c>
      <c r="E641" t="s">
        <v>1022</v>
      </c>
      <c r="F641" s="12">
        <v>24</v>
      </c>
      <c r="G641" t="s">
        <v>2506</v>
      </c>
    </row>
    <row r="642" spans="1:7">
      <c r="A642" s="6" t="s">
        <v>5051</v>
      </c>
      <c r="B642" t="s">
        <v>965</v>
      </c>
      <c r="C642" t="s">
        <v>966</v>
      </c>
      <c r="D642" t="s">
        <v>1811</v>
      </c>
      <c r="E642" t="s">
        <v>1012</v>
      </c>
      <c r="F642" s="12">
        <v>60</v>
      </c>
      <c r="G642" t="s">
        <v>2484</v>
      </c>
    </row>
    <row r="643" spans="1:7">
      <c r="A643" s="6" t="s">
        <v>5052</v>
      </c>
      <c r="B643" t="s">
        <v>965</v>
      </c>
      <c r="C643" t="s">
        <v>966</v>
      </c>
      <c r="D643" t="s">
        <v>1812</v>
      </c>
      <c r="E643" t="s">
        <v>1014</v>
      </c>
      <c r="F643" s="12">
        <v>49</v>
      </c>
      <c r="G643" t="s">
        <v>2493</v>
      </c>
    </row>
    <row r="644" spans="1:7">
      <c r="A644" s="6" t="s">
        <v>5053</v>
      </c>
      <c r="B644" t="s">
        <v>965</v>
      </c>
      <c r="C644" t="s">
        <v>966</v>
      </c>
      <c r="D644" t="s">
        <v>1813</v>
      </c>
      <c r="E644" t="s">
        <v>1017</v>
      </c>
      <c r="F644" s="12">
        <v>55</v>
      </c>
      <c r="G644" t="s">
        <v>2492</v>
      </c>
    </row>
    <row r="645" spans="1:7">
      <c r="A645" s="6" t="s">
        <v>5054</v>
      </c>
      <c r="B645" t="s">
        <v>965</v>
      </c>
      <c r="C645" t="s">
        <v>966</v>
      </c>
      <c r="D645" t="s">
        <v>1814</v>
      </c>
      <c r="E645" t="s">
        <v>1017</v>
      </c>
      <c r="F645" s="12">
        <v>32</v>
      </c>
      <c r="G645" t="s">
        <v>2476</v>
      </c>
    </row>
    <row r="646" spans="1:7">
      <c r="A646" s="6" t="s">
        <v>5055</v>
      </c>
      <c r="B646" t="s">
        <v>965</v>
      </c>
      <c r="C646" t="s">
        <v>966</v>
      </c>
      <c r="D646" t="s">
        <v>1815</v>
      </c>
      <c r="E646" t="s">
        <v>1117</v>
      </c>
      <c r="F646" s="12">
        <v>45</v>
      </c>
      <c r="G646" t="s">
        <v>2470</v>
      </c>
    </row>
    <row r="647" spans="1:7">
      <c r="A647" s="6" t="s">
        <v>5056</v>
      </c>
      <c r="B647" t="s">
        <v>965</v>
      </c>
      <c r="C647" t="s">
        <v>966</v>
      </c>
      <c r="D647" t="s">
        <v>1816</v>
      </c>
      <c r="E647" t="s">
        <v>986</v>
      </c>
      <c r="F647" s="12">
        <v>36</v>
      </c>
      <c r="G647" t="s">
        <v>2473</v>
      </c>
    </row>
    <row r="648" spans="1:7">
      <c r="A648" s="6" t="s">
        <v>5057</v>
      </c>
      <c r="B648" t="s">
        <v>965</v>
      </c>
      <c r="C648" t="s">
        <v>966</v>
      </c>
      <c r="D648" t="s">
        <v>1817</v>
      </c>
      <c r="E648" t="s">
        <v>970</v>
      </c>
      <c r="F648" s="12">
        <v>46</v>
      </c>
      <c r="G648" t="s">
        <v>2504</v>
      </c>
    </row>
    <row r="649" spans="1:7">
      <c r="A649" s="6" t="s">
        <v>5058</v>
      </c>
      <c r="B649" t="s">
        <v>965</v>
      </c>
      <c r="C649" t="s">
        <v>966</v>
      </c>
      <c r="D649" t="s">
        <v>1818</v>
      </c>
      <c r="E649" t="s">
        <v>1022</v>
      </c>
      <c r="F649" s="12">
        <v>41</v>
      </c>
      <c r="G649" t="s">
        <v>2517</v>
      </c>
    </row>
    <row r="650" spans="1:7">
      <c r="A650" s="6" t="s">
        <v>4914</v>
      </c>
      <c r="B650" t="s">
        <v>965</v>
      </c>
      <c r="C650" t="s">
        <v>966</v>
      </c>
      <c r="D650" t="s">
        <v>1819</v>
      </c>
      <c r="E650" t="s">
        <v>1014</v>
      </c>
      <c r="F650" s="12">
        <v>42</v>
      </c>
      <c r="G650" t="s">
        <v>2486</v>
      </c>
    </row>
    <row r="651" spans="1:7">
      <c r="A651" s="6" t="s">
        <v>5059</v>
      </c>
      <c r="B651" t="s">
        <v>965</v>
      </c>
      <c r="C651" t="s">
        <v>966</v>
      </c>
      <c r="D651" t="s">
        <v>1820</v>
      </c>
      <c r="E651" t="s">
        <v>1014</v>
      </c>
      <c r="F651" s="12">
        <v>44</v>
      </c>
      <c r="G651" t="s">
        <v>2475</v>
      </c>
    </row>
    <row r="652" spans="1:7">
      <c r="A652" s="6" t="s">
        <v>5060</v>
      </c>
      <c r="B652" t="s">
        <v>965</v>
      </c>
      <c r="C652" t="s">
        <v>966</v>
      </c>
      <c r="D652" t="s">
        <v>1821</v>
      </c>
      <c r="E652" t="s">
        <v>1028</v>
      </c>
      <c r="F652" s="12">
        <v>28</v>
      </c>
      <c r="G652" t="s">
        <v>2487</v>
      </c>
    </row>
    <row r="653" spans="1:7">
      <c r="A653" s="6" t="s">
        <v>5061</v>
      </c>
      <c r="B653" t="s">
        <v>965</v>
      </c>
      <c r="C653" t="s">
        <v>966</v>
      </c>
      <c r="D653" t="s">
        <v>1822</v>
      </c>
      <c r="E653" t="s">
        <v>1017</v>
      </c>
      <c r="F653" s="12">
        <v>45</v>
      </c>
      <c r="G653" t="s">
        <v>2470</v>
      </c>
    </row>
    <row r="654" spans="1:7">
      <c r="A654" s="6" t="s">
        <v>4897</v>
      </c>
      <c r="B654" t="s">
        <v>965</v>
      </c>
      <c r="C654" t="s">
        <v>966</v>
      </c>
      <c r="D654" t="s">
        <v>1823</v>
      </c>
      <c r="E654" t="s">
        <v>1012</v>
      </c>
      <c r="F654" s="12">
        <v>54</v>
      </c>
      <c r="G654" t="s">
        <v>2474</v>
      </c>
    </row>
    <row r="655" spans="1:7">
      <c r="A655" s="6" t="s">
        <v>5062</v>
      </c>
      <c r="B655" t="s">
        <v>965</v>
      </c>
      <c r="C655" t="s">
        <v>966</v>
      </c>
      <c r="D655" t="s">
        <v>1824</v>
      </c>
      <c r="E655" t="s">
        <v>1014</v>
      </c>
      <c r="F655" s="12">
        <v>47</v>
      </c>
      <c r="G655" t="s">
        <v>2495</v>
      </c>
    </row>
    <row r="656" spans="1:7">
      <c r="A656" s="6" t="s">
        <v>5063</v>
      </c>
      <c r="B656" t="s">
        <v>965</v>
      </c>
      <c r="C656" t="s">
        <v>966</v>
      </c>
      <c r="D656" t="s">
        <v>1825</v>
      </c>
      <c r="E656" t="s">
        <v>1028</v>
      </c>
      <c r="F656" s="12">
        <v>24</v>
      </c>
      <c r="G656" t="s">
        <v>2506</v>
      </c>
    </row>
    <row r="657" spans="1:7">
      <c r="A657" s="6" t="s">
        <v>5064</v>
      </c>
      <c r="B657" t="s">
        <v>965</v>
      </c>
      <c r="C657" t="s">
        <v>966</v>
      </c>
      <c r="D657" t="s">
        <v>1826</v>
      </c>
      <c r="E657" t="s">
        <v>1012</v>
      </c>
      <c r="F657" s="12">
        <v>56</v>
      </c>
      <c r="G657" t="s">
        <v>2512</v>
      </c>
    </row>
    <row r="658" spans="1:7">
      <c r="A658" s="6" t="s">
        <v>5065</v>
      </c>
      <c r="B658" t="s">
        <v>965</v>
      </c>
      <c r="C658" t="s">
        <v>966</v>
      </c>
      <c r="D658" t="s">
        <v>1827</v>
      </c>
      <c r="E658" t="s">
        <v>1028</v>
      </c>
      <c r="F658" s="12">
        <v>21</v>
      </c>
      <c r="G658" t="s">
        <v>2516</v>
      </c>
    </row>
    <row r="659" spans="1:7">
      <c r="A659" s="6" t="s">
        <v>5065</v>
      </c>
      <c r="B659" t="s">
        <v>965</v>
      </c>
      <c r="C659" t="s">
        <v>966</v>
      </c>
      <c r="D659" t="s">
        <v>1828</v>
      </c>
      <c r="E659" t="s">
        <v>1014</v>
      </c>
      <c r="F659" s="12">
        <v>62</v>
      </c>
      <c r="G659" t="s">
        <v>2505</v>
      </c>
    </row>
    <row r="660" spans="1:7">
      <c r="A660" s="6" t="s">
        <v>5066</v>
      </c>
      <c r="B660" t="s">
        <v>965</v>
      </c>
      <c r="C660" t="s">
        <v>966</v>
      </c>
      <c r="D660" t="s">
        <v>1829</v>
      </c>
      <c r="E660" t="s">
        <v>1012</v>
      </c>
      <c r="F660" s="12">
        <v>49</v>
      </c>
      <c r="G660" t="s">
        <v>2493</v>
      </c>
    </row>
    <row r="661" spans="1:7">
      <c r="A661" s="6" t="s">
        <v>5067</v>
      </c>
      <c r="B661" t="s">
        <v>965</v>
      </c>
      <c r="C661" t="s">
        <v>966</v>
      </c>
      <c r="D661" t="s">
        <v>1830</v>
      </c>
      <c r="E661" t="s">
        <v>1014</v>
      </c>
      <c r="F661" s="12">
        <v>22</v>
      </c>
      <c r="G661" t="s">
        <v>2472</v>
      </c>
    </row>
    <row r="662" spans="1:7">
      <c r="A662" s="6" t="s">
        <v>5068</v>
      </c>
      <c r="B662" t="s">
        <v>965</v>
      </c>
      <c r="C662" t="s">
        <v>966</v>
      </c>
      <c r="D662" t="s">
        <v>1831</v>
      </c>
      <c r="E662" t="s">
        <v>1202</v>
      </c>
      <c r="F662" s="12">
        <v>32</v>
      </c>
      <c r="G662" t="s">
        <v>2476</v>
      </c>
    </row>
    <row r="663" spans="1:7">
      <c r="A663" s="6" t="s">
        <v>5069</v>
      </c>
      <c r="B663" t="s">
        <v>965</v>
      </c>
      <c r="C663" t="s">
        <v>966</v>
      </c>
      <c r="D663" t="s">
        <v>1832</v>
      </c>
      <c r="E663" t="s">
        <v>970</v>
      </c>
      <c r="F663" s="12">
        <v>90</v>
      </c>
      <c r="G663" t="s">
        <v>2525</v>
      </c>
    </row>
    <row r="664" spans="1:7">
      <c r="A664" s="6" t="s">
        <v>5070</v>
      </c>
      <c r="B664" t="s">
        <v>965</v>
      </c>
      <c r="C664" t="s">
        <v>966</v>
      </c>
      <c r="D664" t="s">
        <v>1833</v>
      </c>
      <c r="E664" t="s">
        <v>1012</v>
      </c>
      <c r="F664" s="12">
        <v>56</v>
      </c>
      <c r="G664" t="s">
        <v>2512</v>
      </c>
    </row>
    <row r="665" spans="1:7">
      <c r="A665" s="6" t="s">
        <v>5071</v>
      </c>
      <c r="B665" t="s">
        <v>965</v>
      </c>
      <c r="C665" t="s">
        <v>966</v>
      </c>
      <c r="D665" t="s">
        <v>1834</v>
      </c>
      <c r="E665" t="s">
        <v>1012</v>
      </c>
      <c r="F665" s="12">
        <v>30</v>
      </c>
      <c r="G665" t="s">
        <v>2485</v>
      </c>
    </row>
    <row r="666" spans="1:7">
      <c r="A666" s="6" t="s">
        <v>5072</v>
      </c>
      <c r="B666" t="s">
        <v>965</v>
      </c>
      <c r="C666" t="s">
        <v>966</v>
      </c>
      <c r="D666" t="s">
        <v>1835</v>
      </c>
      <c r="E666" t="s">
        <v>1017</v>
      </c>
      <c r="F666" s="12">
        <v>42</v>
      </c>
      <c r="G666" t="s">
        <v>2486</v>
      </c>
    </row>
    <row r="667" spans="1:7">
      <c r="A667" s="6" t="s">
        <v>4908</v>
      </c>
      <c r="B667" t="s">
        <v>965</v>
      </c>
      <c r="C667" t="s">
        <v>966</v>
      </c>
      <c r="D667" t="s">
        <v>1836</v>
      </c>
      <c r="E667" t="s">
        <v>1117</v>
      </c>
      <c r="F667" s="12">
        <v>65</v>
      </c>
      <c r="G667" t="s">
        <v>2514</v>
      </c>
    </row>
    <row r="668" spans="1:7">
      <c r="A668" s="6"/>
      <c r="F668" t="e">
        <v>#VALUE!</v>
      </c>
      <c r="G668" t="e">
        <v>#VALUE!</v>
      </c>
    </row>
    <row r="669" spans="1:7">
      <c r="A669" s="6" t="s">
        <v>1837</v>
      </c>
      <c r="B669" t="s">
        <v>965</v>
      </c>
      <c r="C669" t="s">
        <v>966</v>
      </c>
      <c r="D669" t="s">
        <v>1838</v>
      </c>
      <c r="E669" t="s">
        <v>1007</v>
      </c>
      <c r="F669" s="12">
        <v>40</v>
      </c>
      <c r="G669" t="s">
        <v>2489</v>
      </c>
    </row>
    <row r="670" spans="1:7">
      <c r="A670" s="6"/>
      <c r="F670" t="e">
        <v>#VALUE!</v>
      </c>
      <c r="G670" t="e">
        <v>#VALUE!</v>
      </c>
    </row>
    <row r="671" spans="1:7">
      <c r="A671" s="6" t="s">
        <v>32</v>
      </c>
      <c r="B671" t="s">
        <v>965</v>
      </c>
      <c r="C671" t="s">
        <v>966</v>
      </c>
      <c r="D671" t="s">
        <v>1839</v>
      </c>
      <c r="E671" t="s">
        <v>1007</v>
      </c>
      <c r="F671" s="12">
        <v>40</v>
      </c>
      <c r="G671" t="s">
        <v>2489</v>
      </c>
    </row>
    <row r="672" spans="1:7">
      <c r="A672" s="6"/>
      <c r="F672" t="e">
        <v>#VALUE!</v>
      </c>
      <c r="G672" t="e">
        <v>#VALUE!</v>
      </c>
    </row>
    <row r="673" spans="1:7">
      <c r="A673" s="6" t="s">
        <v>1840</v>
      </c>
      <c r="B673" t="s">
        <v>965</v>
      </c>
      <c r="C673" t="s">
        <v>966</v>
      </c>
      <c r="D673" t="s">
        <v>1841</v>
      </c>
      <c r="E673" t="s">
        <v>1005</v>
      </c>
      <c r="F673" s="12">
        <v>41</v>
      </c>
      <c r="G673" t="s">
        <v>2517</v>
      </c>
    </row>
    <row r="674" spans="1:7">
      <c r="A674" s="6"/>
      <c r="F674" t="e">
        <v>#VALUE!</v>
      </c>
      <c r="G674" t="e">
        <v>#VALUE!</v>
      </c>
    </row>
    <row r="675" spans="1:7">
      <c r="A675" s="6" t="s">
        <v>443</v>
      </c>
      <c r="B675" t="s">
        <v>965</v>
      </c>
      <c r="C675" t="s">
        <v>966</v>
      </c>
      <c r="D675" t="s">
        <v>1842</v>
      </c>
      <c r="E675" t="s">
        <v>1022</v>
      </c>
      <c r="F675" s="12">
        <v>47</v>
      </c>
      <c r="G675" t="s">
        <v>2495</v>
      </c>
    </row>
    <row r="676" spans="1:7">
      <c r="A676" s="6" t="s">
        <v>1843</v>
      </c>
      <c r="B676" t="s">
        <v>965</v>
      </c>
      <c r="C676" t="s">
        <v>966</v>
      </c>
      <c r="D676" t="s">
        <v>1844</v>
      </c>
      <c r="E676" t="s">
        <v>1022</v>
      </c>
      <c r="F676" s="12">
        <v>25</v>
      </c>
      <c r="G676" t="s">
        <v>2513</v>
      </c>
    </row>
    <row r="677" spans="1:7">
      <c r="A677" s="6" t="s">
        <v>1845</v>
      </c>
      <c r="B677" t="s">
        <v>965</v>
      </c>
      <c r="C677" t="s">
        <v>966</v>
      </c>
      <c r="D677" t="s">
        <v>1846</v>
      </c>
      <c r="E677" t="s">
        <v>1022</v>
      </c>
      <c r="F677" s="12">
        <v>30</v>
      </c>
      <c r="G677" t="s">
        <v>2485</v>
      </c>
    </row>
    <row r="678" spans="1:7">
      <c r="A678" s="6"/>
      <c r="F678" t="e">
        <v>#VALUE!</v>
      </c>
      <c r="G678" t="e">
        <v>#VALUE!</v>
      </c>
    </row>
    <row r="679" spans="1:7">
      <c r="A679" s="6" t="s">
        <v>1847</v>
      </c>
      <c r="B679" t="s">
        <v>965</v>
      </c>
      <c r="C679" t="s">
        <v>966</v>
      </c>
      <c r="D679" t="s">
        <v>1848</v>
      </c>
      <c r="E679" t="s">
        <v>1022</v>
      </c>
      <c r="F679" s="12">
        <v>27</v>
      </c>
      <c r="G679" t="s">
        <v>2509</v>
      </c>
    </row>
    <row r="680" spans="1:7">
      <c r="A680" s="6" t="s">
        <v>1849</v>
      </c>
      <c r="B680" t="s">
        <v>965</v>
      </c>
      <c r="C680" t="s">
        <v>966</v>
      </c>
      <c r="D680" t="s">
        <v>1850</v>
      </c>
      <c r="E680" t="s">
        <v>1022</v>
      </c>
      <c r="F680" s="12">
        <v>30</v>
      </c>
      <c r="G680" t="s">
        <v>2485</v>
      </c>
    </row>
    <row r="681" spans="1:7">
      <c r="A681" s="6"/>
      <c r="F681" t="e">
        <v>#VALUE!</v>
      </c>
      <c r="G681" t="e">
        <v>#VALUE!</v>
      </c>
    </row>
    <row r="682" spans="1:7">
      <c r="A682" s="6" t="s">
        <v>1851</v>
      </c>
      <c r="B682" t="s">
        <v>965</v>
      </c>
      <c r="C682" t="s">
        <v>966</v>
      </c>
      <c r="D682" t="s">
        <v>1852</v>
      </c>
      <c r="E682" t="s">
        <v>995</v>
      </c>
      <c r="F682" s="12">
        <v>18</v>
      </c>
      <c r="G682" t="s">
        <v>2477</v>
      </c>
    </row>
    <row r="683" spans="1:7">
      <c r="A683" s="6" t="s">
        <v>1853</v>
      </c>
      <c r="B683" t="s">
        <v>965</v>
      </c>
      <c r="C683" t="s">
        <v>966</v>
      </c>
      <c r="D683" t="s">
        <v>1854</v>
      </c>
      <c r="E683" t="s">
        <v>995</v>
      </c>
      <c r="F683" s="12">
        <v>20</v>
      </c>
      <c r="G683" t="s">
        <v>2481</v>
      </c>
    </row>
    <row r="684" spans="1:7">
      <c r="A684" s="6" t="s">
        <v>450</v>
      </c>
      <c r="B684" t="s">
        <v>965</v>
      </c>
      <c r="C684" t="s">
        <v>966</v>
      </c>
      <c r="D684" t="s">
        <v>1855</v>
      </c>
      <c r="E684" t="s">
        <v>1022</v>
      </c>
      <c r="F684" s="12">
        <v>42</v>
      </c>
      <c r="G684" t="s">
        <v>2486</v>
      </c>
    </row>
    <row r="685" spans="1:7">
      <c r="A685" s="6" t="s">
        <v>1856</v>
      </c>
      <c r="B685" t="s">
        <v>965</v>
      </c>
      <c r="C685" t="s">
        <v>966</v>
      </c>
      <c r="D685" t="s">
        <v>1857</v>
      </c>
      <c r="E685" t="s">
        <v>995</v>
      </c>
      <c r="F685" s="12">
        <v>30</v>
      </c>
      <c r="G685" t="s">
        <v>2485</v>
      </c>
    </row>
    <row r="686" spans="1:7">
      <c r="A686" s="6" t="s">
        <v>1858</v>
      </c>
      <c r="B686" t="s">
        <v>965</v>
      </c>
      <c r="C686" t="s">
        <v>966</v>
      </c>
      <c r="D686" t="s">
        <v>1859</v>
      </c>
      <c r="E686" t="s">
        <v>995</v>
      </c>
      <c r="F686" s="12">
        <v>25</v>
      </c>
      <c r="G686" t="s">
        <v>2513</v>
      </c>
    </row>
    <row r="687" spans="1:7">
      <c r="A687" s="6" t="s">
        <v>1860</v>
      </c>
      <c r="B687" t="s">
        <v>965</v>
      </c>
      <c r="C687" t="s">
        <v>966</v>
      </c>
      <c r="D687" t="s">
        <v>1861</v>
      </c>
      <c r="E687" t="s">
        <v>1022</v>
      </c>
      <c r="F687" s="12">
        <v>19</v>
      </c>
      <c r="G687" t="s">
        <v>2483</v>
      </c>
    </row>
    <row r="688" spans="1:7">
      <c r="A688" s="6"/>
      <c r="G688" t="s">
        <v>2482</v>
      </c>
    </row>
    <row r="689" spans="1:7">
      <c r="A689" s="6" t="s">
        <v>1862</v>
      </c>
      <c r="B689" t="s">
        <v>965</v>
      </c>
      <c r="C689" t="s">
        <v>966</v>
      </c>
      <c r="D689" t="s">
        <v>1863</v>
      </c>
      <c r="E689" t="s">
        <v>1117</v>
      </c>
      <c r="G689" t="s">
        <v>2482</v>
      </c>
    </row>
    <row r="690" spans="1:7">
      <c r="A690" s="6" t="s">
        <v>1864</v>
      </c>
      <c r="B690" t="s">
        <v>965</v>
      </c>
      <c r="C690" t="s">
        <v>966</v>
      </c>
      <c r="D690" t="s">
        <v>1865</v>
      </c>
      <c r="E690" t="s">
        <v>1022</v>
      </c>
      <c r="F690" s="12">
        <v>40</v>
      </c>
      <c r="G690" t="s">
        <v>2489</v>
      </c>
    </row>
    <row r="691" spans="1:7">
      <c r="A691" s="6" t="s">
        <v>1866</v>
      </c>
      <c r="B691" t="s">
        <v>965</v>
      </c>
      <c r="C691" t="s">
        <v>966</v>
      </c>
      <c r="D691" t="s">
        <v>1867</v>
      </c>
      <c r="E691" t="s">
        <v>1022</v>
      </c>
      <c r="F691" s="12">
        <v>18</v>
      </c>
      <c r="G691" t="s">
        <v>2477</v>
      </c>
    </row>
    <row r="692" spans="1:7">
      <c r="A692" s="6"/>
      <c r="F692" t="e">
        <v>#VALUE!</v>
      </c>
      <c r="G692" t="e">
        <v>#VALUE!</v>
      </c>
    </row>
    <row r="693" spans="1:7">
      <c r="A693" s="6" t="s">
        <v>38</v>
      </c>
      <c r="B693" t="s">
        <v>965</v>
      </c>
      <c r="C693" t="s">
        <v>966</v>
      </c>
      <c r="D693" t="s">
        <v>1868</v>
      </c>
      <c r="E693" t="s">
        <v>1267</v>
      </c>
      <c r="F693" s="12">
        <v>45</v>
      </c>
      <c r="G693" t="s">
        <v>2470</v>
      </c>
    </row>
    <row r="694" spans="1:7">
      <c r="A694" s="6" t="s">
        <v>1869</v>
      </c>
      <c r="B694" t="s">
        <v>965</v>
      </c>
      <c r="C694" t="s">
        <v>966</v>
      </c>
      <c r="D694" t="s">
        <v>1870</v>
      </c>
      <c r="E694" t="s">
        <v>1128</v>
      </c>
      <c r="F694" s="12">
        <v>24</v>
      </c>
      <c r="G694" t="s">
        <v>2506</v>
      </c>
    </row>
    <row r="695" spans="1:7">
      <c r="A695" s="6" t="s">
        <v>1869</v>
      </c>
      <c r="B695" t="s">
        <v>965</v>
      </c>
      <c r="C695" t="s">
        <v>966</v>
      </c>
      <c r="D695" t="s">
        <v>1871</v>
      </c>
      <c r="E695" t="s">
        <v>1267</v>
      </c>
      <c r="F695" s="12">
        <v>46</v>
      </c>
      <c r="G695" t="s">
        <v>2504</v>
      </c>
    </row>
    <row r="696" spans="1:7">
      <c r="A696" s="6" t="s">
        <v>1872</v>
      </c>
      <c r="B696" t="s">
        <v>965</v>
      </c>
      <c r="C696" t="s">
        <v>966</v>
      </c>
      <c r="D696" t="s">
        <v>1873</v>
      </c>
      <c r="E696" t="s">
        <v>1095</v>
      </c>
      <c r="F696" s="12">
        <v>42</v>
      </c>
      <c r="G696" t="s">
        <v>2486</v>
      </c>
    </row>
    <row r="697" spans="1:7">
      <c r="A697" s="6" t="s">
        <v>1874</v>
      </c>
      <c r="B697" t="s">
        <v>965</v>
      </c>
      <c r="C697" t="s">
        <v>966</v>
      </c>
      <c r="D697" t="s">
        <v>1875</v>
      </c>
      <c r="E697" t="s">
        <v>1128</v>
      </c>
      <c r="F697" s="12">
        <v>30</v>
      </c>
      <c r="G697" t="s">
        <v>2485</v>
      </c>
    </row>
    <row r="698" spans="1:7">
      <c r="A698" s="6" t="s">
        <v>1876</v>
      </c>
      <c r="B698" t="s">
        <v>965</v>
      </c>
      <c r="C698" t="s">
        <v>966</v>
      </c>
      <c r="D698" t="s">
        <v>1877</v>
      </c>
      <c r="E698" t="s">
        <v>1128</v>
      </c>
      <c r="F698" s="12">
        <v>80</v>
      </c>
      <c r="G698" t="s">
        <v>2524</v>
      </c>
    </row>
    <row r="699" spans="1:7">
      <c r="A699" s="6" t="s">
        <v>1878</v>
      </c>
      <c r="B699" t="s">
        <v>965</v>
      </c>
      <c r="C699" t="s">
        <v>966</v>
      </c>
      <c r="D699" t="s">
        <v>1879</v>
      </c>
      <c r="E699" t="s">
        <v>1128</v>
      </c>
      <c r="F699" s="12">
        <v>56</v>
      </c>
      <c r="G699" t="s">
        <v>2512</v>
      </c>
    </row>
    <row r="700" spans="1:7">
      <c r="A700" s="6" t="s">
        <v>1880</v>
      </c>
      <c r="B700" t="s">
        <v>965</v>
      </c>
      <c r="C700" t="s">
        <v>966</v>
      </c>
      <c r="D700" t="s">
        <v>1881</v>
      </c>
      <c r="E700" t="s">
        <v>1267</v>
      </c>
      <c r="F700" s="12">
        <v>25</v>
      </c>
      <c r="G700" t="s">
        <v>2513</v>
      </c>
    </row>
    <row r="701" spans="1:7">
      <c r="A701" s="6" t="s">
        <v>1882</v>
      </c>
      <c r="B701" t="s">
        <v>965</v>
      </c>
      <c r="C701" t="s">
        <v>966</v>
      </c>
      <c r="D701" t="s">
        <v>1883</v>
      </c>
      <c r="E701" t="s">
        <v>1267</v>
      </c>
      <c r="F701" s="12">
        <v>20</v>
      </c>
      <c r="G701" t="s">
        <v>2481</v>
      </c>
    </row>
    <row r="702" spans="1:7">
      <c r="A702" s="6" t="s">
        <v>1884</v>
      </c>
      <c r="B702" t="s">
        <v>965</v>
      </c>
      <c r="C702" t="s">
        <v>966</v>
      </c>
      <c r="D702" t="s">
        <v>1885</v>
      </c>
      <c r="E702" t="s">
        <v>1128</v>
      </c>
      <c r="F702" s="12">
        <v>25</v>
      </c>
      <c r="G702" t="s">
        <v>2513</v>
      </c>
    </row>
    <row r="703" spans="1:7">
      <c r="A703" s="6" t="s">
        <v>1886</v>
      </c>
      <c r="B703" t="s">
        <v>965</v>
      </c>
      <c r="C703" t="s">
        <v>966</v>
      </c>
      <c r="D703" t="s">
        <v>1887</v>
      </c>
      <c r="E703" t="s">
        <v>1299</v>
      </c>
      <c r="F703" s="12">
        <v>32</v>
      </c>
      <c r="G703" t="s">
        <v>2476</v>
      </c>
    </row>
    <row r="704" spans="1:7">
      <c r="A704" s="6" t="s">
        <v>1888</v>
      </c>
      <c r="B704" t="s">
        <v>965</v>
      </c>
      <c r="C704" t="s">
        <v>966</v>
      </c>
      <c r="D704" t="s">
        <v>1889</v>
      </c>
      <c r="E704" t="s">
        <v>1299</v>
      </c>
      <c r="F704" s="12">
        <v>32</v>
      </c>
      <c r="G704" t="s">
        <v>2476</v>
      </c>
    </row>
    <row r="705" spans="1:7">
      <c r="A705" s="6" t="s">
        <v>1890</v>
      </c>
      <c r="B705" t="s">
        <v>965</v>
      </c>
      <c r="C705" t="s">
        <v>966</v>
      </c>
      <c r="D705" t="s">
        <v>1891</v>
      </c>
      <c r="E705" t="s">
        <v>1299</v>
      </c>
      <c r="F705" s="12">
        <v>57</v>
      </c>
      <c r="G705" t="s">
        <v>2498</v>
      </c>
    </row>
    <row r="706" spans="1:7">
      <c r="A706" s="6" t="s">
        <v>1892</v>
      </c>
      <c r="B706" t="s">
        <v>965</v>
      </c>
      <c r="C706" t="s">
        <v>966</v>
      </c>
      <c r="D706" t="s">
        <v>1893</v>
      </c>
      <c r="E706" t="s">
        <v>1299</v>
      </c>
      <c r="F706" s="12">
        <v>38</v>
      </c>
      <c r="G706" t="s">
        <v>2488</v>
      </c>
    </row>
    <row r="707" spans="1:7">
      <c r="A707" s="6"/>
      <c r="F707" t="e">
        <v>#VALUE!</v>
      </c>
      <c r="G707" t="e">
        <v>#VALUE!</v>
      </c>
    </row>
    <row r="708" spans="1:7">
      <c r="A708" s="6" t="s">
        <v>1894</v>
      </c>
      <c r="B708" t="s">
        <v>965</v>
      </c>
      <c r="C708" t="s">
        <v>966</v>
      </c>
      <c r="D708" t="s">
        <v>1895</v>
      </c>
      <c r="E708" t="s">
        <v>1267</v>
      </c>
      <c r="F708" s="12">
        <v>44</v>
      </c>
      <c r="G708" t="s">
        <v>2475</v>
      </c>
    </row>
    <row r="709" spans="1:7">
      <c r="A709" s="6" t="s">
        <v>1896</v>
      </c>
      <c r="B709" t="s">
        <v>965</v>
      </c>
      <c r="C709" t="s">
        <v>966</v>
      </c>
      <c r="D709" t="s">
        <v>1897</v>
      </c>
      <c r="E709" t="s">
        <v>1267</v>
      </c>
      <c r="F709" s="12">
        <v>35</v>
      </c>
      <c r="G709" t="s">
        <v>2491</v>
      </c>
    </row>
    <row r="710" spans="1:7">
      <c r="A710" s="6" t="s">
        <v>1898</v>
      </c>
      <c r="B710" t="s">
        <v>965</v>
      </c>
      <c r="C710" t="s">
        <v>966</v>
      </c>
      <c r="D710" t="s">
        <v>1899</v>
      </c>
      <c r="E710" t="s">
        <v>1299</v>
      </c>
      <c r="F710" s="12">
        <v>57</v>
      </c>
      <c r="G710" t="s">
        <v>2498</v>
      </c>
    </row>
    <row r="711" spans="1:7">
      <c r="A711" s="6" t="s">
        <v>1900</v>
      </c>
      <c r="B711" t="s">
        <v>965</v>
      </c>
      <c r="C711" t="s">
        <v>966</v>
      </c>
      <c r="D711" t="s">
        <v>1901</v>
      </c>
      <c r="E711" t="s">
        <v>1267</v>
      </c>
      <c r="F711" s="12">
        <v>22</v>
      </c>
      <c r="G711" t="s">
        <v>2472</v>
      </c>
    </row>
    <row r="712" spans="1:7">
      <c r="A712" s="6" t="s">
        <v>1902</v>
      </c>
      <c r="B712" t="s">
        <v>965</v>
      </c>
      <c r="C712" t="s">
        <v>966</v>
      </c>
      <c r="D712" t="s">
        <v>1903</v>
      </c>
      <c r="E712" t="s">
        <v>1299</v>
      </c>
      <c r="F712" s="12">
        <v>35</v>
      </c>
      <c r="G712" t="s">
        <v>2491</v>
      </c>
    </row>
    <row r="713" spans="1:7">
      <c r="A713" s="6" t="s">
        <v>1904</v>
      </c>
      <c r="B713" t="s">
        <v>965</v>
      </c>
      <c r="C713" t="s">
        <v>966</v>
      </c>
      <c r="D713" t="s">
        <v>1905</v>
      </c>
      <c r="E713" t="s">
        <v>1299</v>
      </c>
      <c r="F713" s="12">
        <v>35</v>
      </c>
      <c r="G713" t="s">
        <v>2491</v>
      </c>
    </row>
    <row r="714" spans="1:7">
      <c r="A714" s="6" t="s">
        <v>1906</v>
      </c>
      <c r="B714" t="s">
        <v>965</v>
      </c>
      <c r="C714" t="s">
        <v>966</v>
      </c>
      <c r="D714" t="s">
        <v>1907</v>
      </c>
      <c r="E714" t="s">
        <v>1267</v>
      </c>
      <c r="F714" s="12">
        <v>20</v>
      </c>
      <c r="G714" t="s">
        <v>2481</v>
      </c>
    </row>
    <row r="715" spans="1:7">
      <c r="A715" s="6" t="s">
        <v>1908</v>
      </c>
      <c r="B715" t="s">
        <v>965</v>
      </c>
      <c r="C715" t="s">
        <v>966</v>
      </c>
      <c r="D715" t="s">
        <v>1909</v>
      </c>
      <c r="E715" t="s">
        <v>1128</v>
      </c>
      <c r="F715" s="12">
        <v>52</v>
      </c>
      <c r="G715" t="s">
        <v>2499</v>
      </c>
    </row>
    <row r="716" spans="1:7">
      <c r="A716" s="6" t="s">
        <v>1910</v>
      </c>
      <c r="B716" t="s">
        <v>965</v>
      </c>
      <c r="C716" t="s">
        <v>966</v>
      </c>
      <c r="D716" t="s">
        <v>1911</v>
      </c>
      <c r="E716" t="s">
        <v>1128</v>
      </c>
      <c r="F716" s="12">
        <v>57</v>
      </c>
      <c r="G716" t="s">
        <v>2498</v>
      </c>
    </row>
    <row r="717" spans="1:7">
      <c r="A717" s="6" t="s">
        <v>1912</v>
      </c>
      <c r="B717" t="s">
        <v>965</v>
      </c>
      <c r="C717" t="s">
        <v>966</v>
      </c>
      <c r="D717" t="s">
        <v>1913</v>
      </c>
      <c r="E717" t="s">
        <v>1299</v>
      </c>
      <c r="F717" s="12">
        <v>28</v>
      </c>
      <c r="G717" t="s">
        <v>2487</v>
      </c>
    </row>
    <row r="718" spans="1:7">
      <c r="A718" s="6" t="s">
        <v>1914</v>
      </c>
      <c r="B718" t="s">
        <v>965</v>
      </c>
      <c r="C718" t="s">
        <v>966</v>
      </c>
      <c r="D718" t="s">
        <v>1915</v>
      </c>
      <c r="E718" t="s">
        <v>1095</v>
      </c>
      <c r="F718" s="12">
        <v>24</v>
      </c>
      <c r="G718" t="s">
        <v>2506</v>
      </c>
    </row>
    <row r="719" spans="1:7">
      <c r="A719" s="6" t="s">
        <v>1916</v>
      </c>
      <c r="B719" t="s">
        <v>965</v>
      </c>
      <c r="C719" t="s">
        <v>966</v>
      </c>
      <c r="D719" t="s">
        <v>1917</v>
      </c>
      <c r="E719" t="s">
        <v>1128</v>
      </c>
      <c r="F719" s="12">
        <v>80</v>
      </c>
      <c r="G719" t="s">
        <v>2524</v>
      </c>
    </row>
    <row r="720" spans="1:7">
      <c r="A720" s="6" t="s">
        <v>1918</v>
      </c>
      <c r="B720" t="s">
        <v>965</v>
      </c>
      <c r="C720" t="s">
        <v>966</v>
      </c>
      <c r="D720" t="s">
        <v>1919</v>
      </c>
      <c r="E720" t="s">
        <v>1128</v>
      </c>
      <c r="F720" s="12">
        <v>22</v>
      </c>
      <c r="G720" t="s">
        <v>2472</v>
      </c>
    </row>
    <row r="721" spans="1:7">
      <c r="A721" s="6" t="s">
        <v>1920</v>
      </c>
      <c r="B721" t="s">
        <v>965</v>
      </c>
      <c r="C721" t="s">
        <v>966</v>
      </c>
      <c r="D721" t="s">
        <v>1921</v>
      </c>
      <c r="E721" t="s">
        <v>1128</v>
      </c>
      <c r="F721" s="12">
        <v>19</v>
      </c>
      <c r="G721" t="s">
        <v>2483</v>
      </c>
    </row>
    <row r="722" spans="1:7">
      <c r="A722" s="6"/>
      <c r="F722" t="e">
        <v>#VALUE!</v>
      </c>
      <c r="G722" t="e">
        <v>#VALUE!</v>
      </c>
    </row>
    <row r="723" spans="1:7">
      <c r="A723" s="6" t="s">
        <v>1922</v>
      </c>
      <c r="B723" t="s">
        <v>965</v>
      </c>
      <c r="C723" t="s">
        <v>966</v>
      </c>
      <c r="D723" t="s">
        <v>1923</v>
      </c>
      <c r="E723" t="s">
        <v>973</v>
      </c>
      <c r="F723" s="12">
        <v>24</v>
      </c>
      <c r="G723" t="s">
        <v>2506</v>
      </c>
    </row>
    <row r="724" spans="1:7">
      <c r="A724" s="6" t="s">
        <v>1924</v>
      </c>
      <c r="B724" t="s">
        <v>965</v>
      </c>
      <c r="C724" t="s">
        <v>966</v>
      </c>
      <c r="D724" t="s">
        <v>1925</v>
      </c>
      <c r="E724" t="s">
        <v>973</v>
      </c>
      <c r="F724" s="12">
        <v>61</v>
      </c>
      <c r="G724" t="s">
        <v>2521</v>
      </c>
    </row>
    <row r="725" spans="1:7">
      <c r="A725" s="6" t="s">
        <v>1926</v>
      </c>
      <c r="B725" t="s">
        <v>965</v>
      </c>
      <c r="C725" t="s">
        <v>966</v>
      </c>
      <c r="D725" t="s">
        <v>1927</v>
      </c>
      <c r="E725" t="s">
        <v>973</v>
      </c>
      <c r="F725" s="12">
        <v>37</v>
      </c>
      <c r="G725" t="s">
        <v>2507</v>
      </c>
    </row>
    <row r="726" spans="1:7">
      <c r="A726" s="6" t="s">
        <v>1928</v>
      </c>
      <c r="B726" t="s">
        <v>965</v>
      </c>
      <c r="C726" t="s">
        <v>966</v>
      </c>
      <c r="D726" t="s">
        <v>1929</v>
      </c>
      <c r="E726" t="s">
        <v>973</v>
      </c>
      <c r="F726" s="12">
        <v>63</v>
      </c>
      <c r="G726" t="s">
        <v>2510</v>
      </c>
    </row>
    <row r="727" spans="1:7">
      <c r="A727" s="6" t="s">
        <v>1930</v>
      </c>
      <c r="B727" t="s">
        <v>965</v>
      </c>
      <c r="C727" t="s">
        <v>966</v>
      </c>
      <c r="D727" t="s">
        <v>1931</v>
      </c>
      <c r="E727" t="s">
        <v>1052</v>
      </c>
      <c r="F727" s="12">
        <v>28</v>
      </c>
      <c r="G727" t="s">
        <v>2487</v>
      </c>
    </row>
    <row r="728" spans="1:7">
      <c r="A728" s="6" t="s">
        <v>1932</v>
      </c>
      <c r="B728" t="s">
        <v>965</v>
      </c>
      <c r="C728" t="s">
        <v>966</v>
      </c>
      <c r="D728" t="s">
        <v>1933</v>
      </c>
      <c r="E728" t="s">
        <v>995</v>
      </c>
      <c r="F728" s="12">
        <v>32</v>
      </c>
      <c r="G728" t="s">
        <v>2476</v>
      </c>
    </row>
    <row r="729" spans="1:7">
      <c r="A729" s="6" t="s">
        <v>1934</v>
      </c>
      <c r="B729" t="s">
        <v>965</v>
      </c>
      <c r="C729" t="s">
        <v>966</v>
      </c>
      <c r="D729" t="s">
        <v>1935</v>
      </c>
      <c r="E729" t="s">
        <v>1267</v>
      </c>
      <c r="F729" s="12">
        <v>23</v>
      </c>
      <c r="G729" t="s">
        <v>2520</v>
      </c>
    </row>
    <row r="730" spans="1:7">
      <c r="A730" s="6" t="s">
        <v>1936</v>
      </c>
      <c r="B730" t="s">
        <v>965</v>
      </c>
      <c r="C730" t="s">
        <v>966</v>
      </c>
      <c r="D730" t="s">
        <v>1937</v>
      </c>
      <c r="E730" t="s">
        <v>973</v>
      </c>
      <c r="F730" s="12">
        <v>36</v>
      </c>
      <c r="G730" t="s">
        <v>2473</v>
      </c>
    </row>
    <row r="731" spans="1:7">
      <c r="A731" s="6" t="s">
        <v>1938</v>
      </c>
      <c r="B731" t="s">
        <v>965</v>
      </c>
      <c r="C731" t="s">
        <v>966</v>
      </c>
      <c r="D731" t="s">
        <v>1939</v>
      </c>
      <c r="E731" t="s">
        <v>995</v>
      </c>
      <c r="F731" s="12">
        <v>55</v>
      </c>
      <c r="G731" t="s">
        <v>2492</v>
      </c>
    </row>
    <row r="732" spans="1:7">
      <c r="A732" s="6" t="s">
        <v>1940</v>
      </c>
      <c r="B732" t="s">
        <v>965</v>
      </c>
      <c r="C732" t="s">
        <v>966</v>
      </c>
      <c r="D732" t="s">
        <v>1941</v>
      </c>
      <c r="E732" t="s">
        <v>973</v>
      </c>
      <c r="F732" s="12">
        <v>25</v>
      </c>
      <c r="G732" t="s">
        <v>2513</v>
      </c>
    </row>
    <row r="733" spans="1:7">
      <c r="A733" s="6" t="s">
        <v>1942</v>
      </c>
      <c r="B733" t="s">
        <v>965</v>
      </c>
      <c r="C733" t="s">
        <v>966</v>
      </c>
      <c r="D733" t="s">
        <v>1943</v>
      </c>
      <c r="E733" t="s">
        <v>1299</v>
      </c>
      <c r="F733" s="12">
        <v>35</v>
      </c>
      <c r="G733" t="s">
        <v>2491</v>
      </c>
    </row>
    <row r="734" spans="1:7">
      <c r="A734" s="6" t="s">
        <v>1944</v>
      </c>
      <c r="B734" t="s">
        <v>965</v>
      </c>
      <c r="C734" t="s">
        <v>966</v>
      </c>
      <c r="D734" t="s">
        <v>1945</v>
      </c>
      <c r="E734" t="s">
        <v>995</v>
      </c>
      <c r="F734" s="12">
        <v>20</v>
      </c>
      <c r="G734" t="s">
        <v>2481</v>
      </c>
    </row>
    <row r="735" spans="1:7">
      <c r="A735" s="6" t="s">
        <v>1946</v>
      </c>
      <c r="B735" t="s">
        <v>965</v>
      </c>
      <c r="C735" t="s">
        <v>966</v>
      </c>
      <c r="D735" t="s">
        <v>1947</v>
      </c>
      <c r="E735" t="s">
        <v>1299</v>
      </c>
      <c r="F735" s="12">
        <v>35</v>
      </c>
      <c r="G735" t="s">
        <v>2491</v>
      </c>
    </row>
    <row r="736" spans="1:7">
      <c r="A736" s="6" t="s">
        <v>1948</v>
      </c>
      <c r="B736" t="s">
        <v>965</v>
      </c>
      <c r="C736" t="s">
        <v>966</v>
      </c>
      <c r="D736" t="s">
        <v>1949</v>
      </c>
      <c r="E736" t="s">
        <v>1007</v>
      </c>
      <c r="F736" s="12">
        <v>23</v>
      </c>
      <c r="G736" t="s">
        <v>2520</v>
      </c>
    </row>
    <row r="737" spans="1:7">
      <c r="A737" s="6"/>
      <c r="F737" t="e">
        <v>#VALUE!</v>
      </c>
      <c r="G737" t="e">
        <v>#VALUE!</v>
      </c>
    </row>
    <row r="738" spans="1:7">
      <c r="A738" s="6" t="s">
        <v>1950</v>
      </c>
      <c r="B738" t="s">
        <v>965</v>
      </c>
      <c r="C738" t="s">
        <v>966</v>
      </c>
      <c r="D738" t="s">
        <v>1951</v>
      </c>
      <c r="E738" t="s">
        <v>1007</v>
      </c>
      <c r="F738" s="12">
        <v>42</v>
      </c>
      <c r="G738" t="s">
        <v>2486</v>
      </c>
    </row>
    <row r="739" spans="1:7">
      <c r="A739" s="6" t="s">
        <v>1952</v>
      </c>
      <c r="B739" t="s">
        <v>965</v>
      </c>
      <c r="C739" t="s">
        <v>966</v>
      </c>
      <c r="D739" t="s">
        <v>1953</v>
      </c>
      <c r="E739" t="s">
        <v>1267</v>
      </c>
      <c r="F739" s="12">
        <v>24</v>
      </c>
      <c r="G739" t="s">
        <v>2506</v>
      </c>
    </row>
    <row r="740" spans="1:7">
      <c r="A740" s="6" t="s">
        <v>1954</v>
      </c>
      <c r="B740" t="s">
        <v>965</v>
      </c>
      <c r="C740" t="s">
        <v>966</v>
      </c>
      <c r="D740" t="s">
        <v>1955</v>
      </c>
      <c r="E740" t="s">
        <v>973</v>
      </c>
      <c r="F740" s="12">
        <v>23</v>
      </c>
      <c r="G740" t="s">
        <v>2520</v>
      </c>
    </row>
    <row r="741" spans="1:7">
      <c r="A741" s="6" t="s">
        <v>1956</v>
      </c>
      <c r="B741" t="s">
        <v>965</v>
      </c>
      <c r="C741" t="s">
        <v>966</v>
      </c>
      <c r="D741" t="s">
        <v>1957</v>
      </c>
      <c r="E741" t="s">
        <v>1299</v>
      </c>
      <c r="F741" s="12">
        <v>35</v>
      </c>
      <c r="G741" t="s">
        <v>2491</v>
      </c>
    </row>
    <row r="742" spans="1:7">
      <c r="A742" s="6" t="s">
        <v>1958</v>
      </c>
      <c r="B742" t="s">
        <v>965</v>
      </c>
      <c r="C742" t="s">
        <v>966</v>
      </c>
      <c r="D742" t="s">
        <v>1959</v>
      </c>
      <c r="E742" t="s">
        <v>973</v>
      </c>
      <c r="F742" s="12">
        <v>30</v>
      </c>
      <c r="G742" t="s">
        <v>2485</v>
      </c>
    </row>
    <row r="743" spans="1:7">
      <c r="A743" s="6" t="s">
        <v>1960</v>
      </c>
      <c r="B743" t="s">
        <v>965</v>
      </c>
      <c r="C743" t="s">
        <v>966</v>
      </c>
      <c r="D743" t="s">
        <v>1961</v>
      </c>
      <c r="E743" t="s">
        <v>1299</v>
      </c>
      <c r="F743" s="12">
        <v>35</v>
      </c>
      <c r="G743" t="s">
        <v>2491</v>
      </c>
    </row>
    <row r="744" spans="1:7">
      <c r="A744" s="6" t="s">
        <v>1962</v>
      </c>
      <c r="B744" t="s">
        <v>965</v>
      </c>
      <c r="C744" t="s">
        <v>966</v>
      </c>
      <c r="D744" t="s">
        <v>1963</v>
      </c>
      <c r="E744" t="s">
        <v>1007</v>
      </c>
      <c r="F744" t="s">
        <v>2436</v>
      </c>
      <c r="G744" t="e">
        <v>#VALUE!</v>
      </c>
    </row>
    <row r="745" spans="1:7">
      <c r="A745" s="6" t="s">
        <v>1964</v>
      </c>
      <c r="B745" t="s">
        <v>965</v>
      </c>
      <c r="C745" t="s">
        <v>966</v>
      </c>
      <c r="D745" t="s">
        <v>1965</v>
      </c>
      <c r="E745" t="s">
        <v>973</v>
      </c>
      <c r="F745" s="12">
        <v>25</v>
      </c>
      <c r="G745" t="s">
        <v>2513</v>
      </c>
    </row>
    <row r="746" spans="1:7">
      <c r="A746" s="6"/>
      <c r="F746" t="e">
        <v>#VALUE!</v>
      </c>
      <c r="G746" t="e">
        <v>#VALUE!</v>
      </c>
    </row>
    <row r="747" spans="1:7">
      <c r="A747" s="6" t="s">
        <v>479</v>
      </c>
      <c r="B747" t="s">
        <v>965</v>
      </c>
      <c r="C747" t="s">
        <v>966</v>
      </c>
      <c r="D747" t="s">
        <v>1966</v>
      </c>
      <c r="E747" t="s">
        <v>968</v>
      </c>
      <c r="F747" s="12">
        <v>27</v>
      </c>
      <c r="G747" t="s">
        <v>2509</v>
      </c>
    </row>
    <row r="748" spans="1:7">
      <c r="A748" s="6"/>
      <c r="F748" t="e">
        <v>#VALUE!</v>
      </c>
      <c r="G748" t="e">
        <v>#VALUE!</v>
      </c>
    </row>
    <row r="749" spans="1:7">
      <c r="A749" s="6" t="s">
        <v>1967</v>
      </c>
      <c r="B749" t="s">
        <v>965</v>
      </c>
      <c r="C749" t="s">
        <v>966</v>
      </c>
      <c r="D749" t="s">
        <v>1968</v>
      </c>
      <c r="E749" t="s">
        <v>1202</v>
      </c>
      <c r="F749" s="12">
        <v>22</v>
      </c>
      <c r="G749" t="s">
        <v>2472</v>
      </c>
    </row>
    <row r="750" spans="1:7">
      <c r="A750" s="6" t="s">
        <v>1969</v>
      </c>
      <c r="B750" t="s">
        <v>965</v>
      </c>
      <c r="C750" t="s">
        <v>966</v>
      </c>
      <c r="D750" t="s">
        <v>1970</v>
      </c>
      <c r="E750" t="s">
        <v>1095</v>
      </c>
      <c r="F750" s="12">
        <v>38</v>
      </c>
      <c r="G750" t="s">
        <v>2488</v>
      </c>
    </row>
    <row r="751" spans="1:7">
      <c r="A751" s="6"/>
      <c r="F751" t="e">
        <v>#VALUE!</v>
      </c>
      <c r="G751" t="e">
        <v>#VALUE!</v>
      </c>
    </row>
    <row r="752" spans="1:7">
      <c r="A752" s="6" t="s">
        <v>1971</v>
      </c>
      <c r="B752" t="s">
        <v>965</v>
      </c>
      <c r="C752" t="s">
        <v>966</v>
      </c>
      <c r="D752" t="s">
        <v>1972</v>
      </c>
      <c r="E752" t="s">
        <v>1202</v>
      </c>
      <c r="F752" s="12">
        <v>50</v>
      </c>
      <c r="G752" t="s">
        <v>2490</v>
      </c>
    </row>
    <row r="753" spans="1:7">
      <c r="A753" s="6" t="s">
        <v>1973</v>
      </c>
      <c r="B753" t="s">
        <v>965</v>
      </c>
      <c r="C753" t="s">
        <v>966</v>
      </c>
      <c r="D753" t="s">
        <v>1974</v>
      </c>
      <c r="E753" t="s">
        <v>1095</v>
      </c>
      <c r="F753" s="12">
        <v>36</v>
      </c>
      <c r="G753" t="s">
        <v>2473</v>
      </c>
    </row>
    <row r="754" spans="1:7">
      <c r="A754" s="6"/>
      <c r="F754" t="e">
        <v>#VALUE!</v>
      </c>
      <c r="G754" t="e">
        <v>#VALUE!</v>
      </c>
    </row>
    <row r="755" spans="1:7">
      <c r="A755" s="6" t="s">
        <v>1975</v>
      </c>
      <c r="B755" t="s">
        <v>965</v>
      </c>
      <c r="C755" t="s">
        <v>966</v>
      </c>
      <c r="D755" t="s">
        <v>1976</v>
      </c>
      <c r="E755" t="s">
        <v>986</v>
      </c>
      <c r="F755" s="12">
        <v>20</v>
      </c>
      <c r="G755" t="s">
        <v>2481</v>
      </c>
    </row>
    <row r="756" spans="1:7">
      <c r="A756" s="6" t="s">
        <v>1977</v>
      </c>
      <c r="B756" t="s">
        <v>965</v>
      </c>
      <c r="C756" t="s">
        <v>966</v>
      </c>
      <c r="D756" t="s">
        <v>1978</v>
      </c>
      <c r="E756" t="s">
        <v>986</v>
      </c>
      <c r="F756" s="12">
        <v>26</v>
      </c>
      <c r="G756" t="s">
        <v>2497</v>
      </c>
    </row>
    <row r="757" spans="1:7">
      <c r="A757" s="6" t="s">
        <v>484</v>
      </c>
      <c r="B757" t="s">
        <v>965</v>
      </c>
      <c r="C757" t="s">
        <v>966</v>
      </c>
      <c r="D757" t="s">
        <v>1979</v>
      </c>
      <c r="E757" t="s">
        <v>976</v>
      </c>
      <c r="F757" s="12">
        <v>30</v>
      </c>
      <c r="G757" t="s">
        <v>2485</v>
      </c>
    </row>
    <row r="758" spans="1:7">
      <c r="A758" s="6" t="s">
        <v>485</v>
      </c>
      <c r="B758" t="s">
        <v>965</v>
      </c>
      <c r="C758" t="s">
        <v>966</v>
      </c>
      <c r="D758" t="s">
        <v>1980</v>
      </c>
      <c r="E758" t="s">
        <v>986</v>
      </c>
      <c r="F758" s="12">
        <v>32</v>
      </c>
      <c r="G758" t="s">
        <v>2476</v>
      </c>
    </row>
    <row r="759" spans="1:7">
      <c r="A759" s="6"/>
      <c r="F759" t="e">
        <v>#VALUE!</v>
      </c>
      <c r="G759" t="e">
        <v>#VALUE!</v>
      </c>
    </row>
    <row r="760" spans="1:7">
      <c r="A760" s="6" t="s">
        <v>1981</v>
      </c>
      <c r="B760" t="s">
        <v>965</v>
      </c>
      <c r="C760" t="s">
        <v>966</v>
      </c>
      <c r="D760" t="s">
        <v>1982</v>
      </c>
      <c r="E760" t="s">
        <v>986</v>
      </c>
      <c r="F760" s="12">
        <v>32</v>
      </c>
      <c r="G760" t="s">
        <v>2476</v>
      </c>
    </row>
    <row r="761" spans="1:7">
      <c r="A761" s="6" t="s">
        <v>1983</v>
      </c>
      <c r="B761" t="s">
        <v>965</v>
      </c>
      <c r="C761" t="s">
        <v>966</v>
      </c>
      <c r="D761" t="s">
        <v>1984</v>
      </c>
      <c r="E761" t="s">
        <v>986</v>
      </c>
      <c r="F761" s="12">
        <v>20</v>
      </c>
      <c r="G761" t="s">
        <v>2481</v>
      </c>
    </row>
    <row r="762" spans="1:7">
      <c r="A762" s="6" t="s">
        <v>1985</v>
      </c>
      <c r="B762" t="s">
        <v>965</v>
      </c>
      <c r="C762" t="s">
        <v>966</v>
      </c>
      <c r="D762" t="s">
        <v>1986</v>
      </c>
      <c r="E762" t="s">
        <v>976</v>
      </c>
      <c r="F762" s="12">
        <v>30</v>
      </c>
      <c r="G762" t="s">
        <v>2485</v>
      </c>
    </row>
    <row r="763" spans="1:7">
      <c r="A763" s="6"/>
      <c r="F763" t="e">
        <v>#VALUE!</v>
      </c>
      <c r="G763" t="e">
        <v>#VALUE!</v>
      </c>
    </row>
    <row r="764" spans="1:7">
      <c r="A764" s="6" t="s">
        <v>486</v>
      </c>
      <c r="B764" t="s">
        <v>965</v>
      </c>
      <c r="C764" t="s">
        <v>966</v>
      </c>
      <c r="D764" t="s">
        <v>1987</v>
      </c>
      <c r="E764" t="s">
        <v>1017</v>
      </c>
      <c r="F764" s="12">
        <v>43</v>
      </c>
      <c r="G764" t="s">
        <v>2494</v>
      </c>
    </row>
    <row r="765" spans="1:7">
      <c r="A765" s="6" t="s">
        <v>1988</v>
      </c>
      <c r="B765" t="s">
        <v>965</v>
      </c>
      <c r="C765" t="s">
        <v>966</v>
      </c>
      <c r="D765" t="s">
        <v>1989</v>
      </c>
      <c r="E765" t="s">
        <v>1017</v>
      </c>
      <c r="F765" s="12">
        <v>42</v>
      </c>
      <c r="G765" t="s">
        <v>2486</v>
      </c>
    </row>
    <row r="766" spans="1:7">
      <c r="A766" s="6" t="s">
        <v>1990</v>
      </c>
      <c r="B766" t="s">
        <v>965</v>
      </c>
      <c r="C766" t="s">
        <v>966</v>
      </c>
      <c r="D766" t="s">
        <v>1991</v>
      </c>
      <c r="E766" t="s">
        <v>1017</v>
      </c>
      <c r="F766" s="12">
        <v>20</v>
      </c>
      <c r="G766" t="s">
        <v>2481</v>
      </c>
    </row>
    <row r="767" spans="1:7">
      <c r="A767" s="6" t="s">
        <v>1992</v>
      </c>
      <c r="B767" t="s">
        <v>965</v>
      </c>
      <c r="C767" t="s">
        <v>966</v>
      </c>
      <c r="D767" t="s">
        <v>1993</v>
      </c>
      <c r="E767" t="s">
        <v>1370</v>
      </c>
      <c r="F767" s="12">
        <v>26</v>
      </c>
      <c r="G767" t="s">
        <v>2497</v>
      </c>
    </row>
    <row r="768" spans="1:7">
      <c r="A768" s="6" t="s">
        <v>1994</v>
      </c>
      <c r="B768" t="s">
        <v>965</v>
      </c>
      <c r="C768" t="s">
        <v>966</v>
      </c>
      <c r="D768" t="s">
        <v>1995</v>
      </c>
      <c r="E768" t="s">
        <v>1043</v>
      </c>
      <c r="F768" s="12">
        <v>50</v>
      </c>
      <c r="G768" t="s">
        <v>2490</v>
      </c>
    </row>
    <row r="769" spans="1:7">
      <c r="A769" s="6" t="s">
        <v>1996</v>
      </c>
      <c r="B769" t="s">
        <v>965</v>
      </c>
      <c r="C769" t="s">
        <v>966</v>
      </c>
      <c r="D769" t="s">
        <v>1997</v>
      </c>
      <c r="E769" t="s">
        <v>1370</v>
      </c>
      <c r="F769" s="12">
        <v>60</v>
      </c>
      <c r="G769" t="s">
        <v>2484</v>
      </c>
    </row>
    <row r="770" spans="1:7">
      <c r="A770" s="6" t="s">
        <v>1998</v>
      </c>
      <c r="B770" t="s">
        <v>965</v>
      </c>
      <c r="C770" t="s">
        <v>966</v>
      </c>
      <c r="D770" t="s">
        <v>1999</v>
      </c>
      <c r="E770" t="s">
        <v>1043</v>
      </c>
      <c r="F770" t="s">
        <v>2436</v>
      </c>
      <c r="G770" t="e">
        <v>#VALUE!</v>
      </c>
    </row>
    <row r="771" spans="1:7">
      <c r="A771" s="6" t="s">
        <v>2000</v>
      </c>
      <c r="B771" t="s">
        <v>965</v>
      </c>
      <c r="C771" t="s">
        <v>966</v>
      </c>
      <c r="D771" t="s">
        <v>2001</v>
      </c>
      <c r="E771" t="s">
        <v>1012</v>
      </c>
      <c r="F771" s="12">
        <v>37</v>
      </c>
      <c r="G771" t="s">
        <v>2507</v>
      </c>
    </row>
    <row r="772" spans="1:7">
      <c r="A772" s="6" t="s">
        <v>2002</v>
      </c>
      <c r="B772" t="s">
        <v>965</v>
      </c>
      <c r="C772" t="s">
        <v>966</v>
      </c>
      <c r="D772" t="s">
        <v>2003</v>
      </c>
      <c r="E772" t="s">
        <v>1043</v>
      </c>
      <c r="F772" s="12">
        <v>55</v>
      </c>
      <c r="G772" t="s">
        <v>2492</v>
      </c>
    </row>
    <row r="773" spans="1:7">
      <c r="A773" s="6" t="s">
        <v>2004</v>
      </c>
      <c r="B773" t="s">
        <v>965</v>
      </c>
      <c r="C773" t="s">
        <v>966</v>
      </c>
      <c r="D773" t="s">
        <v>2005</v>
      </c>
      <c r="E773" t="s">
        <v>1095</v>
      </c>
      <c r="F773" s="12">
        <v>46</v>
      </c>
      <c r="G773" t="s">
        <v>2504</v>
      </c>
    </row>
    <row r="774" spans="1:7">
      <c r="A774" s="6" t="s">
        <v>2006</v>
      </c>
      <c r="B774" t="s">
        <v>965</v>
      </c>
      <c r="C774" t="s">
        <v>966</v>
      </c>
      <c r="D774" t="s">
        <v>2007</v>
      </c>
      <c r="E774" t="s">
        <v>1117</v>
      </c>
      <c r="F774" s="12">
        <v>50</v>
      </c>
      <c r="G774" t="s">
        <v>2490</v>
      </c>
    </row>
    <row r="775" spans="1:7">
      <c r="A775" s="6" t="s">
        <v>2008</v>
      </c>
      <c r="B775" t="s">
        <v>965</v>
      </c>
      <c r="C775" t="s">
        <v>966</v>
      </c>
      <c r="D775" t="s">
        <v>2009</v>
      </c>
      <c r="E775" t="s">
        <v>1202</v>
      </c>
      <c r="F775" s="12">
        <v>42</v>
      </c>
      <c r="G775" t="s">
        <v>2486</v>
      </c>
    </row>
    <row r="776" spans="1:7">
      <c r="A776" s="6" t="s">
        <v>2010</v>
      </c>
      <c r="B776" t="s">
        <v>965</v>
      </c>
      <c r="C776" t="s">
        <v>966</v>
      </c>
      <c r="D776" t="s">
        <v>2011</v>
      </c>
      <c r="E776" t="s">
        <v>1007</v>
      </c>
      <c r="F776" t="s">
        <v>2436</v>
      </c>
      <c r="G776" t="e">
        <v>#VALUE!</v>
      </c>
    </row>
    <row r="777" spans="1:7">
      <c r="A777" s="6" t="s">
        <v>2012</v>
      </c>
      <c r="B777" t="s">
        <v>965</v>
      </c>
      <c r="C777" t="s">
        <v>966</v>
      </c>
      <c r="D777" t="s">
        <v>2013</v>
      </c>
      <c r="E777" t="s">
        <v>1117</v>
      </c>
      <c r="F777" s="12">
        <v>25</v>
      </c>
      <c r="G777" t="s">
        <v>2513</v>
      </c>
    </row>
    <row r="778" spans="1:7">
      <c r="A778" s="6" t="s">
        <v>2014</v>
      </c>
      <c r="B778" t="s">
        <v>965</v>
      </c>
      <c r="C778" t="s">
        <v>966</v>
      </c>
      <c r="D778" t="s">
        <v>2015</v>
      </c>
      <c r="E778" t="s">
        <v>1031</v>
      </c>
      <c r="F778" s="12">
        <v>48</v>
      </c>
      <c r="G778" t="s">
        <v>2478</v>
      </c>
    </row>
    <row r="779" spans="1:7">
      <c r="A779" s="6"/>
      <c r="F779" t="e">
        <v>#VALUE!</v>
      </c>
      <c r="G779" t="e">
        <v>#VALUE!</v>
      </c>
    </row>
    <row r="780" spans="1:7">
      <c r="A780" s="6" t="s">
        <v>2016</v>
      </c>
      <c r="B780" t="s">
        <v>965</v>
      </c>
      <c r="C780" t="s">
        <v>966</v>
      </c>
      <c r="D780" t="s">
        <v>2017</v>
      </c>
      <c r="E780" t="s">
        <v>1043</v>
      </c>
      <c r="F780" s="12">
        <v>34</v>
      </c>
      <c r="G780" t="s">
        <v>2496</v>
      </c>
    </row>
    <row r="781" spans="1:7">
      <c r="A781" s="6" t="s">
        <v>2018</v>
      </c>
      <c r="B781" t="s">
        <v>965</v>
      </c>
      <c r="C781" t="s">
        <v>966</v>
      </c>
      <c r="D781" t="s">
        <v>2019</v>
      </c>
      <c r="E781" t="s">
        <v>976</v>
      </c>
      <c r="F781" s="12">
        <v>26</v>
      </c>
      <c r="G781" t="s">
        <v>2497</v>
      </c>
    </row>
    <row r="782" spans="1:7">
      <c r="A782" s="6" t="s">
        <v>2020</v>
      </c>
      <c r="B782" t="s">
        <v>965</v>
      </c>
      <c r="C782" t="s">
        <v>966</v>
      </c>
      <c r="D782" t="s">
        <v>2021</v>
      </c>
      <c r="E782" t="s">
        <v>1095</v>
      </c>
      <c r="F782" s="12">
        <v>42</v>
      </c>
      <c r="G782" t="s">
        <v>2486</v>
      </c>
    </row>
    <row r="783" spans="1:7">
      <c r="A783" s="6" t="s">
        <v>2022</v>
      </c>
      <c r="B783" t="s">
        <v>965</v>
      </c>
      <c r="C783" t="s">
        <v>966</v>
      </c>
      <c r="D783" t="s">
        <v>2023</v>
      </c>
      <c r="E783" t="s">
        <v>1202</v>
      </c>
      <c r="F783" s="12">
        <v>40</v>
      </c>
      <c r="G783" t="s">
        <v>2489</v>
      </c>
    </row>
    <row r="784" spans="1:7">
      <c r="A784" s="6" t="s">
        <v>2024</v>
      </c>
      <c r="B784" t="s">
        <v>965</v>
      </c>
      <c r="C784" t="s">
        <v>966</v>
      </c>
      <c r="D784" t="s">
        <v>2025</v>
      </c>
      <c r="E784" t="s">
        <v>1043</v>
      </c>
      <c r="F784" s="12">
        <v>43</v>
      </c>
      <c r="G784" t="s">
        <v>2494</v>
      </c>
    </row>
    <row r="785" spans="1:7">
      <c r="A785" s="6" t="s">
        <v>2026</v>
      </c>
      <c r="B785" t="s">
        <v>965</v>
      </c>
      <c r="C785" t="s">
        <v>966</v>
      </c>
      <c r="D785" t="s">
        <v>2027</v>
      </c>
      <c r="E785" t="s">
        <v>1117</v>
      </c>
      <c r="F785" s="12">
        <v>20</v>
      </c>
      <c r="G785" t="s">
        <v>2481</v>
      </c>
    </row>
    <row r="786" spans="1:7">
      <c r="A786" s="6" t="s">
        <v>2028</v>
      </c>
      <c r="B786" t="s">
        <v>965</v>
      </c>
      <c r="C786" t="s">
        <v>966</v>
      </c>
      <c r="D786" t="s">
        <v>2029</v>
      </c>
      <c r="E786" t="s">
        <v>1012</v>
      </c>
      <c r="F786" s="12">
        <v>37</v>
      </c>
      <c r="G786" t="s">
        <v>2507</v>
      </c>
    </row>
    <row r="787" spans="1:7">
      <c r="A787" s="6" t="s">
        <v>2030</v>
      </c>
      <c r="B787" t="s">
        <v>965</v>
      </c>
      <c r="C787" t="s">
        <v>966</v>
      </c>
      <c r="D787" t="s">
        <v>2031</v>
      </c>
      <c r="E787" t="s">
        <v>1117</v>
      </c>
      <c r="F787" s="12">
        <v>49</v>
      </c>
      <c r="G787" t="s">
        <v>2493</v>
      </c>
    </row>
    <row r="788" spans="1:7">
      <c r="A788" s="6" t="s">
        <v>2032</v>
      </c>
      <c r="B788" t="s">
        <v>965</v>
      </c>
      <c r="C788" t="s">
        <v>966</v>
      </c>
      <c r="D788" t="s">
        <v>2033</v>
      </c>
      <c r="E788" t="s">
        <v>1031</v>
      </c>
      <c r="F788" s="12">
        <v>37</v>
      </c>
      <c r="G788" t="s">
        <v>2507</v>
      </c>
    </row>
    <row r="789" spans="1:7">
      <c r="A789" s="6"/>
      <c r="F789" t="e">
        <v>#VALUE!</v>
      </c>
      <c r="G789" t="e">
        <v>#VALUE!</v>
      </c>
    </row>
    <row r="790" spans="1:7">
      <c r="A790" s="6" t="s">
        <v>2034</v>
      </c>
      <c r="B790" t="s">
        <v>965</v>
      </c>
      <c r="C790" t="s">
        <v>966</v>
      </c>
      <c r="D790" t="s">
        <v>2035</v>
      </c>
      <c r="E790" t="s">
        <v>1117</v>
      </c>
      <c r="F790" t="s">
        <v>2436</v>
      </c>
      <c r="G790" t="e">
        <v>#VALUE!</v>
      </c>
    </row>
    <row r="791" spans="1:7">
      <c r="A791" s="6" t="s">
        <v>2036</v>
      </c>
      <c r="B791" t="s">
        <v>965</v>
      </c>
      <c r="C791" t="s">
        <v>966</v>
      </c>
      <c r="D791" t="s">
        <v>2037</v>
      </c>
      <c r="E791" t="s">
        <v>1052</v>
      </c>
      <c r="F791" s="12">
        <v>32</v>
      </c>
      <c r="G791" t="s">
        <v>2476</v>
      </c>
    </row>
    <row r="792" spans="1:7">
      <c r="A792" s="6"/>
      <c r="F792" t="e">
        <v>#VALUE!</v>
      </c>
      <c r="G792" t="e">
        <v>#VALUE!</v>
      </c>
    </row>
    <row r="793" spans="1:7">
      <c r="A793" s="6" t="s">
        <v>2038</v>
      </c>
      <c r="B793" t="s">
        <v>965</v>
      </c>
      <c r="C793" t="s">
        <v>966</v>
      </c>
      <c r="D793" t="s">
        <v>2039</v>
      </c>
      <c r="E793" t="s">
        <v>1052</v>
      </c>
      <c r="F793" s="12">
        <v>25</v>
      </c>
      <c r="G793" t="s">
        <v>2513</v>
      </c>
    </row>
    <row r="794" spans="1:7">
      <c r="A794" s="6"/>
      <c r="F794" t="e">
        <v>#VALUE!</v>
      </c>
      <c r="G794" t="e">
        <v>#VALUE!</v>
      </c>
    </row>
    <row r="795" spans="1:7">
      <c r="A795" s="6" t="s">
        <v>2040</v>
      </c>
      <c r="B795" t="s">
        <v>965</v>
      </c>
      <c r="C795" t="s">
        <v>966</v>
      </c>
      <c r="D795" t="s">
        <v>2041</v>
      </c>
      <c r="E795" t="s">
        <v>1031</v>
      </c>
      <c r="F795" s="12">
        <v>32</v>
      </c>
      <c r="G795" t="s">
        <v>2476</v>
      </c>
    </row>
    <row r="796" spans="1:7">
      <c r="A796" s="6" t="s">
        <v>2042</v>
      </c>
      <c r="B796" t="s">
        <v>965</v>
      </c>
      <c r="C796" t="s">
        <v>966</v>
      </c>
      <c r="D796" t="s">
        <v>2043</v>
      </c>
      <c r="E796" t="s">
        <v>1031</v>
      </c>
      <c r="F796" s="12">
        <v>35</v>
      </c>
      <c r="G796" t="s">
        <v>2491</v>
      </c>
    </row>
    <row r="797" spans="1:7">
      <c r="A797" s="6" t="s">
        <v>2044</v>
      </c>
      <c r="B797" t="s">
        <v>965</v>
      </c>
      <c r="C797" t="s">
        <v>966</v>
      </c>
      <c r="D797" t="s">
        <v>2045</v>
      </c>
      <c r="E797" t="s">
        <v>1031</v>
      </c>
      <c r="F797" s="12">
        <v>30</v>
      </c>
      <c r="G797" t="s">
        <v>2485</v>
      </c>
    </row>
    <row r="798" spans="1:7">
      <c r="A798" s="6" t="s">
        <v>2046</v>
      </c>
      <c r="B798" t="s">
        <v>965</v>
      </c>
      <c r="C798" t="s">
        <v>966</v>
      </c>
      <c r="D798" t="s">
        <v>2047</v>
      </c>
      <c r="E798" t="s">
        <v>1031</v>
      </c>
      <c r="F798" s="12">
        <v>33</v>
      </c>
      <c r="G798" t="s">
        <v>2500</v>
      </c>
    </row>
    <row r="799" spans="1:7">
      <c r="A799" s="6"/>
      <c r="F799" t="e">
        <v>#VALUE!</v>
      </c>
      <c r="G799" t="e">
        <v>#VALUE!</v>
      </c>
    </row>
    <row r="800" spans="1:7">
      <c r="A800" s="6" t="s">
        <v>2048</v>
      </c>
      <c r="B800" t="s">
        <v>965</v>
      </c>
      <c r="C800" t="s">
        <v>966</v>
      </c>
      <c r="D800" t="s">
        <v>2049</v>
      </c>
      <c r="E800" t="s">
        <v>1031</v>
      </c>
      <c r="F800" s="12">
        <v>18</v>
      </c>
      <c r="G800" t="s">
        <v>2477</v>
      </c>
    </row>
    <row r="801" spans="1:7">
      <c r="A801" s="6" t="s">
        <v>2050</v>
      </c>
      <c r="B801" t="s">
        <v>965</v>
      </c>
      <c r="C801" t="s">
        <v>966</v>
      </c>
      <c r="D801" t="s">
        <v>2051</v>
      </c>
      <c r="E801" t="s">
        <v>1031</v>
      </c>
      <c r="F801" s="12">
        <v>23</v>
      </c>
      <c r="G801" t="s">
        <v>2520</v>
      </c>
    </row>
    <row r="802" spans="1:7">
      <c r="A802" s="6"/>
      <c r="F802" t="e">
        <v>#VALUE!</v>
      </c>
      <c r="G802" t="e">
        <v>#VALUE!</v>
      </c>
    </row>
    <row r="803" spans="1:7">
      <c r="A803" s="6" t="s">
        <v>2052</v>
      </c>
      <c r="B803" t="s">
        <v>965</v>
      </c>
      <c r="C803" t="s">
        <v>966</v>
      </c>
      <c r="D803" t="s">
        <v>2053</v>
      </c>
      <c r="E803" t="s">
        <v>1267</v>
      </c>
      <c r="F803" s="12">
        <v>40</v>
      </c>
      <c r="G803" t="s">
        <v>2489</v>
      </c>
    </row>
    <row r="804" spans="1:7">
      <c r="A804" s="6" t="s">
        <v>2054</v>
      </c>
      <c r="B804" t="s">
        <v>965</v>
      </c>
      <c r="C804" t="s">
        <v>966</v>
      </c>
      <c r="D804" t="s">
        <v>2055</v>
      </c>
      <c r="E804" t="s">
        <v>1052</v>
      </c>
      <c r="F804" s="12">
        <v>45</v>
      </c>
      <c r="G804" t="s">
        <v>2470</v>
      </c>
    </row>
    <row r="805" spans="1:7">
      <c r="A805" s="6" t="s">
        <v>2056</v>
      </c>
      <c r="B805" t="s">
        <v>965</v>
      </c>
      <c r="C805" t="s">
        <v>966</v>
      </c>
      <c r="D805" t="s">
        <v>2057</v>
      </c>
      <c r="E805" t="s">
        <v>995</v>
      </c>
      <c r="F805" s="12">
        <v>60</v>
      </c>
      <c r="G805" t="s">
        <v>2484</v>
      </c>
    </row>
    <row r="806" spans="1:7">
      <c r="A806" s="6" t="s">
        <v>2058</v>
      </c>
      <c r="B806" t="s">
        <v>965</v>
      </c>
      <c r="C806" t="s">
        <v>966</v>
      </c>
      <c r="D806" t="s">
        <v>2059</v>
      </c>
      <c r="E806" t="s">
        <v>1117</v>
      </c>
      <c r="F806" s="12">
        <v>35</v>
      </c>
      <c r="G806" t="s">
        <v>2491</v>
      </c>
    </row>
    <row r="807" spans="1:7">
      <c r="A807" s="6" t="s">
        <v>2060</v>
      </c>
      <c r="B807" t="s">
        <v>965</v>
      </c>
      <c r="C807" t="s">
        <v>966</v>
      </c>
      <c r="D807" t="s">
        <v>2061</v>
      </c>
      <c r="E807" t="s">
        <v>1095</v>
      </c>
      <c r="F807" s="12">
        <v>22</v>
      </c>
      <c r="G807" t="s">
        <v>2472</v>
      </c>
    </row>
    <row r="808" spans="1:7">
      <c r="A808" s="6" t="s">
        <v>2062</v>
      </c>
      <c r="B808" t="s">
        <v>965</v>
      </c>
      <c r="C808" t="s">
        <v>966</v>
      </c>
      <c r="D808" t="s">
        <v>2063</v>
      </c>
      <c r="E808" t="s">
        <v>1267</v>
      </c>
      <c r="F808" s="12">
        <v>61</v>
      </c>
      <c r="G808" t="s">
        <v>2521</v>
      </c>
    </row>
    <row r="809" spans="1:7">
      <c r="A809" s="6" t="s">
        <v>2064</v>
      </c>
      <c r="B809" t="s">
        <v>965</v>
      </c>
      <c r="C809" t="s">
        <v>966</v>
      </c>
      <c r="D809" t="s">
        <v>2065</v>
      </c>
      <c r="E809" t="s">
        <v>1095</v>
      </c>
      <c r="F809" s="12">
        <v>53</v>
      </c>
      <c r="G809" t="s">
        <v>2523</v>
      </c>
    </row>
    <row r="810" spans="1:7">
      <c r="A810" s="6"/>
      <c r="F810" t="e">
        <v>#VALUE!</v>
      </c>
      <c r="G810" t="e">
        <v>#VALUE!</v>
      </c>
    </row>
    <row r="811" spans="1:7">
      <c r="A811" s="6" t="s">
        <v>2066</v>
      </c>
      <c r="B811" t="s">
        <v>965</v>
      </c>
      <c r="C811" t="s">
        <v>966</v>
      </c>
      <c r="D811" t="s">
        <v>2067</v>
      </c>
      <c r="E811" t="s">
        <v>1095</v>
      </c>
      <c r="F811" s="12">
        <v>46</v>
      </c>
      <c r="G811" t="s">
        <v>2504</v>
      </c>
    </row>
    <row r="812" spans="1:7">
      <c r="A812" s="6" t="s">
        <v>2068</v>
      </c>
      <c r="B812" t="s">
        <v>965</v>
      </c>
      <c r="C812" t="s">
        <v>966</v>
      </c>
      <c r="D812" t="s">
        <v>2069</v>
      </c>
      <c r="E812" t="s">
        <v>1052</v>
      </c>
      <c r="F812" s="12">
        <v>23</v>
      </c>
      <c r="G812" t="s">
        <v>2520</v>
      </c>
    </row>
    <row r="813" spans="1:7">
      <c r="A813" s="6" t="s">
        <v>2070</v>
      </c>
      <c r="B813" t="s">
        <v>965</v>
      </c>
      <c r="C813" t="s">
        <v>966</v>
      </c>
      <c r="D813" t="s">
        <v>2071</v>
      </c>
      <c r="E813" t="s">
        <v>1117</v>
      </c>
      <c r="F813" s="12">
        <v>34</v>
      </c>
      <c r="G813" t="s">
        <v>2496</v>
      </c>
    </row>
    <row r="814" spans="1:7">
      <c r="A814" s="6" t="s">
        <v>2072</v>
      </c>
      <c r="B814" t="s">
        <v>965</v>
      </c>
      <c r="C814" t="s">
        <v>966</v>
      </c>
      <c r="D814" t="s">
        <v>2073</v>
      </c>
      <c r="E814" t="s">
        <v>1052</v>
      </c>
      <c r="F814" s="12">
        <v>44</v>
      </c>
      <c r="G814" t="s">
        <v>2475</v>
      </c>
    </row>
    <row r="815" spans="1:7">
      <c r="A815" s="6"/>
      <c r="F815" t="e">
        <v>#VALUE!</v>
      </c>
      <c r="G815" t="e">
        <v>#VALUE!</v>
      </c>
    </row>
    <row r="816" spans="1:7">
      <c r="A816" s="6" t="s">
        <v>2074</v>
      </c>
      <c r="B816" t="s">
        <v>965</v>
      </c>
      <c r="C816" t="s">
        <v>966</v>
      </c>
      <c r="D816" t="s">
        <v>2075</v>
      </c>
      <c r="E816" t="s">
        <v>1005</v>
      </c>
      <c r="F816" s="12">
        <v>30</v>
      </c>
      <c r="G816" t="s">
        <v>2485</v>
      </c>
    </row>
    <row r="817" spans="1:7">
      <c r="A817" s="6"/>
      <c r="F817" t="e">
        <v>#VALUE!</v>
      </c>
      <c r="G817" t="e">
        <v>#VALUE!</v>
      </c>
    </row>
    <row r="818" spans="1:7">
      <c r="A818" s="6" t="s">
        <v>2076</v>
      </c>
      <c r="B818" t="s">
        <v>965</v>
      </c>
      <c r="C818" t="s">
        <v>966</v>
      </c>
      <c r="D818" t="s">
        <v>2077</v>
      </c>
      <c r="E818" t="s">
        <v>1272</v>
      </c>
      <c r="F818" t="s">
        <v>2436</v>
      </c>
      <c r="G818" t="e">
        <v>#VALUE!</v>
      </c>
    </row>
    <row r="819" spans="1:7">
      <c r="A819" s="6"/>
      <c r="F819" t="e">
        <v>#VALUE!</v>
      </c>
      <c r="G819" t="e">
        <v>#VALUE!</v>
      </c>
    </row>
    <row r="820" spans="1:7">
      <c r="A820" s="6" t="s">
        <v>2078</v>
      </c>
      <c r="B820" t="s">
        <v>965</v>
      </c>
      <c r="C820" t="s">
        <v>966</v>
      </c>
      <c r="D820" t="s">
        <v>2079</v>
      </c>
      <c r="E820" t="s">
        <v>1267</v>
      </c>
      <c r="F820" s="12">
        <v>19</v>
      </c>
      <c r="G820" t="s">
        <v>2483</v>
      </c>
    </row>
    <row r="821" spans="1:7">
      <c r="A821" s="6" t="s">
        <v>2080</v>
      </c>
      <c r="B821" t="s">
        <v>965</v>
      </c>
      <c r="C821" t="s">
        <v>966</v>
      </c>
      <c r="D821" t="s">
        <v>2081</v>
      </c>
      <c r="E821" t="s">
        <v>1267</v>
      </c>
      <c r="F821" s="12">
        <v>63</v>
      </c>
      <c r="G821" t="s">
        <v>2510</v>
      </c>
    </row>
    <row r="822" spans="1:7">
      <c r="A822" s="6" t="s">
        <v>518</v>
      </c>
      <c r="B822" t="s">
        <v>965</v>
      </c>
      <c r="C822" t="s">
        <v>966</v>
      </c>
      <c r="D822" t="s">
        <v>2082</v>
      </c>
      <c r="E822" t="s">
        <v>1026</v>
      </c>
      <c r="F822" s="12">
        <v>37</v>
      </c>
      <c r="G822" t="s">
        <v>2507</v>
      </c>
    </row>
    <row r="823" spans="1:7">
      <c r="A823" s="6" t="s">
        <v>2083</v>
      </c>
      <c r="B823" t="s">
        <v>965</v>
      </c>
      <c r="C823" t="s">
        <v>966</v>
      </c>
      <c r="D823" t="s">
        <v>2084</v>
      </c>
      <c r="E823" t="s">
        <v>995</v>
      </c>
      <c r="F823" s="12">
        <v>24</v>
      </c>
      <c r="G823" t="s">
        <v>2506</v>
      </c>
    </row>
    <row r="824" spans="1:7">
      <c r="A824" s="6" t="s">
        <v>2085</v>
      </c>
      <c r="B824" t="s">
        <v>965</v>
      </c>
      <c r="C824" t="s">
        <v>966</v>
      </c>
      <c r="D824" t="s">
        <v>2086</v>
      </c>
      <c r="E824" t="s">
        <v>973</v>
      </c>
      <c r="F824" s="12">
        <v>35</v>
      </c>
      <c r="G824" t="s">
        <v>2491</v>
      </c>
    </row>
    <row r="825" spans="1:7">
      <c r="A825" s="6" t="s">
        <v>2087</v>
      </c>
      <c r="B825" t="s">
        <v>965</v>
      </c>
      <c r="C825" t="s">
        <v>966</v>
      </c>
      <c r="D825" t="s">
        <v>2088</v>
      </c>
      <c r="E825" t="s">
        <v>1007</v>
      </c>
      <c r="F825" s="12">
        <v>24</v>
      </c>
      <c r="G825" t="s">
        <v>2506</v>
      </c>
    </row>
    <row r="826" spans="1:7">
      <c r="A826" s="6" t="s">
        <v>2087</v>
      </c>
      <c r="B826" t="s">
        <v>965</v>
      </c>
      <c r="C826" t="s">
        <v>966</v>
      </c>
      <c r="D826" t="s">
        <v>2089</v>
      </c>
      <c r="E826" t="s">
        <v>1009</v>
      </c>
      <c r="F826" s="12">
        <v>19</v>
      </c>
      <c r="G826" t="s">
        <v>2483</v>
      </c>
    </row>
    <row r="827" spans="1:7">
      <c r="A827" s="6" t="s">
        <v>2090</v>
      </c>
      <c r="B827" t="s">
        <v>965</v>
      </c>
      <c r="C827" t="s">
        <v>966</v>
      </c>
      <c r="D827" t="s">
        <v>2091</v>
      </c>
      <c r="E827" t="s">
        <v>1267</v>
      </c>
      <c r="F827" s="12">
        <v>55</v>
      </c>
      <c r="G827" t="s">
        <v>2492</v>
      </c>
    </row>
    <row r="828" spans="1:7">
      <c r="A828" s="6" t="s">
        <v>2092</v>
      </c>
      <c r="B828" t="s">
        <v>965</v>
      </c>
      <c r="C828" t="s">
        <v>966</v>
      </c>
      <c r="D828" t="s">
        <v>2093</v>
      </c>
      <c r="E828" t="s">
        <v>995</v>
      </c>
      <c r="F828" s="12">
        <v>30</v>
      </c>
      <c r="G828" t="s">
        <v>2485</v>
      </c>
    </row>
    <row r="829" spans="1:7">
      <c r="A829" s="6" t="s">
        <v>2094</v>
      </c>
      <c r="B829" t="s">
        <v>965</v>
      </c>
      <c r="C829" t="s">
        <v>966</v>
      </c>
      <c r="D829" t="s">
        <v>2095</v>
      </c>
      <c r="E829" t="s">
        <v>976</v>
      </c>
      <c r="F829" s="12">
        <v>70</v>
      </c>
      <c r="G829" t="s">
        <v>2471</v>
      </c>
    </row>
    <row r="830" spans="1:7">
      <c r="A830" s="6" t="s">
        <v>2094</v>
      </c>
      <c r="B830" t="s">
        <v>965</v>
      </c>
      <c r="C830" t="s">
        <v>966</v>
      </c>
      <c r="D830" t="s">
        <v>2096</v>
      </c>
      <c r="E830" t="s">
        <v>995</v>
      </c>
      <c r="F830" s="12">
        <v>27</v>
      </c>
      <c r="G830" t="s">
        <v>2509</v>
      </c>
    </row>
    <row r="831" spans="1:7">
      <c r="A831" s="6" t="s">
        <v>2097</v>
      </c>
      <c r="B831" t="s">
        <v>965</v>
      </c>
      <c r="C831" t="s">
        <v>966</v>
      </c>
      <c r="D831" t="s">
        <v>2098</v>
      </c>
      <c r="E831" t="s">
        <v>1043</v>
      </c>
      <c r="F831" t="s">
        <v>2436</v>
      </c>
      <c r="G831" t="e">
        <v>#VALUE!</v>
      </c>
    </row>
    <row r="832" spans="1:7">
      <c r="A832" s="6" t="s">
        <v>2099</v>
      </c>
      <c r="B832" t="s">
        <v>965</v>
      </c>
      <c r="C832" t="s">
        <v>966</v>
      </c>
      <c r="D832" t="s">
        <v>2100</v>
      </c>
      <c r="E832" t="s">
        <v>1052</v>
      </c>
      <c r="F832" s="12">
        <v>18</v>
      </c>
      <c r="G832" t="s">
        <v>2477</v>
      </c>
    </row>
    <row r="833" spans="1:7">
      <c r="A833" s="6" t="s">
        <v>2101</v>
      </c>
      <c r="B833" t="s">
        <v>965</v>
      </c>
      <c r="C833" t="s">
        <v>966</v>
      </c>
      <c r="D833" t="s">
        <v>2102</v>
      </c>
      <c r="E833" t="s">
        <v>995</v>
      </c>
      <c r="F833" s="12">
        <v>25</v>
      </c>
      <c r="G833" t="s">
        <v>2513</v>
      </c>
    </row>
    <row r="834" spans="1:7">
      <c r="A834" s="6" t="s">
        <v>2103</v>
      </c>
      <c r="B834" t="s">
        <v>965</v>
      </c>
      <c r="C834" t="s">
        <v>966</v>
      </c>
      <c r="D834" t="s">
        <v>2104</v>
      </c>
      <c r="E834" t="s">
        <v>1299</v>
      </c>
      <c r="F834" s="12">
        <v>46</v>
      </c>
      <c r="G834" t="s">
        <v>2504</v>
      </c>
    </row>
    <row r="835" spans="1:7">
      <c r="A835" s="6" t="s">
        <v>2105</v>
      </c>
      <c r="B835" t="s">
        <v>965</v>
      </c>
      <c r="C835" t="s">
        <v>966</v>
      </c>
      <c r="D835" t="s">
        <v>2106</v>
      </c>
      <c r="E835" t="s">
        <v>1370</v>
      </c>
      <c r="F835" s="12">
        <v>36</v>
      </c>
      <c r="G835" t="s">
        <v>2473</v>
      </c>
    </row>
    <row r="836" spans="1:7">
      <c r="A836" s="6" t="s">
        <v>2107</v>
      </c>
      <c r="B836" t="s">
        <v>965</v>
      </c>
      <c r="C836" t="s">
        <v>966</v>
      </c>
      <c r="D836" t="s">
        <v>2108</v>
      </c>
      <c r="E836" t="s">
        <v>1052</v>
      </c>
      <c r="F836" s="12">
        <v>56</v>
      </c>
      <c r="G836" t="s">
        <v>2512</v>
      </c>
    </row>
    <row r="837" spans="1:7">
      <c r="A837" s="6" t="s">
        <v>2109</v>
      </c>
      <c r="B837" t="s">
        <v>965</v>
      </c>
      <c r="C837" t="s">
        <v>966</v>
      </c>
      <c r="D837" t="s">
        <v>2110</v>
      </c>
      <c r="E837" t="s">
        <v>976</v>
      </c>
      <c r="F837" s="12">
        <v>26</v>
      </c>
      <c r="G837" t="s">
        <v>2497</v>
      </c>
    </row>
    <row r="838" spans="1:7">
      <c r="A838" s="6" t="s">
        <v>2111</v>
      </c>
      <c r="B838" t="s">
        <v>965</v>
      </c>
      <c r="C838" t="s">
        <v>966</v>
      </c>
      <c r="D838" t="s">
        <v>2112</v>
      </c>
      <c r="E838" t="s">
        <v>1299</v>
      </c>
      <c r="F838" s="12">
        <v>57</v>
      </c>
      <c r="G838" t="s">
        <v>2498</v>
      </c>
    </row>
    <row r="839" spans="1:7">
      <c r="A839" s="6" t="s">
        <v>2113</v>
      </c>
      <c r="B839" t="s">
        <v>965</v>
      </c>
      <c r="C839" t="s">
        <v>966</v>
      </c>
      <c r="D839" t="s">
        <v>2114</v>
      </c>
      <c r="E839" t="s">
        <v>1202</v>
      </c>
      <c r="F839" s="12">
        <v>39</v>
      </c>
      <c r="G839" t="s">
        <v>2515</v>
      </c>
    </row>
    <row r="840" spans="1:7">
      <c r="A840" s="6" t="s">
        <v>2115</v>
      </c>
      <c r="B840" t="s">
        <v>965</v>
      </c>
      <c r="C840" t="s">
        <v>966</v>
      </c>
      <c r="D840" t="s">
        <v>2116</v>
      </c>
      <c r="E840" t="s">
        <v>1299</v>
      </c>
      <c r="F840" s="12">
        <v>47</v>
      </c>
      <c r="G840" t="s">
        <v>2495</v>
      </c>
    </row>
    <row r="841" spans="1:7">
      <c r="A841" s="6" t="s">
        <v>2117</v>
      </c>
      <c r="B841" t="s">
        <v>965</v>
      </c>
      <c r="C841" t="s">
        <v>966</v>
      </c>
      <c r="D841" t="s">
        <v>2118</v>
      </c>
      <c r="E841" t="s">
        <v>1354</v>
      </c>
      <c r="F841" s="12">
        <v>50</v>
      </c>
      <c r="G841" t="s">
        <v>2490</v>
      </c>
    </row>
    <row r="842" spans="1:7">
      <c r="A842" s="6" t="s">
        <v>2119</v>
      </c>
      <c r="B842" t="s">
        <v>965</v>
      </c>
      <c r="C842" t="s">
        <v>966</v>
      </c>
      <c r="D842" t="s">
        <v>2120</v>
      </c>
      <c r="E842" t="s">
        <v>1202</v>
      </c>
      <c r="F842" s="12">
        <v>60</v>
      </c>
      <c r="G842" t="s">
        <v>2484</v>
      </c>
    </row>
    <row r="843" spans="1:7">
      <c r="A843" s="6" t="s">
        <v>2121</v>
      </c>
      <c r="B843" t="s">
        <v>965</v>
      </c>
      <c r="C843" t="s">
        <v>966</v>
      </c>
      <c r="D843" t="s">
        <v>2122</v>
      </c>
      <c r="E843" t="s">
        <v>986</v>
      </c>
      <c r="F843" s="12">
        <v>42</v>
      </c>
      <c r="G843" t="s">
        <v>2486</v>
      </c>
    </row>
    <row r="844" spans="1:7">
      <c r="A844" s="6" t="s">
        <v>537</v>
      </c>
      <c r="B844" t="s">
        <v>965</v>
      </c>
      <c r="C844" t="s">
        <v>966</v>
      </c>
      <c r="D844" t="s">
        <v>2123</v>
      </c>
      <c r="E844" t="s">
        <v>1026</v>
      </c>
      <c r="F844" s="12">
        <v>44</v>
      </c>
      <c r="G844" t="s">
        <v>2475</v>
      </c>
    </row>
    <row r="845" spans="1:7">
      <c r="A845" s="6" t="s">
        <v>2124</v>
      </c>
      <c r="B845" t="s">
        <v>965</v>
      </c>
      <c r="C845" t="s">
        <v>966</v>
      </c>
      <c r="D845" t="s">
        <v>2125</v>
      </c>
      <c r="E845" t="s">
        <v>1299</v>
      </c>
      <c r="F845" s="12">
        <v>26</v>
      </c>
      <c r="G845" t="s">
        <v>2497</v>
      </c>
    </row>
    <row r="846" spans="1:7">
      <c r="A846" s="6" t="s">
        <v>2126</v>
      </c>
      <c r="B846" t="s">
        <v>965</v>
      </c>
      <c r="C846" t="s">
        <v>966</v>
      </c>
      <c r="D846" t="s">
        <v>2127</v>
      </c>
      <c r="E846" t="s">
        <v>1202</v>
      </c>
      <c r="F846" s="12">
        <v>23</v>
      </c>
      <c r="G846" t="s">
        <v>2520</v>
      </c>
    </row>
    <row r="847" spans="1:7">
      <c r="A847" s="6" t="s">
        <v>2128</v>
      </c>
      <c r="B847" t="s">
        <v>965</v>
      </c>
      <c r="C847" t="s">
        <v>966</v>
      </c>
      <c r="D847" t="s">
        <v>2129</v>
      </c>
      <c r="E847" t="s">
        <v>1043</v>
      </c>
      <c r="F847" t="s">
        <v>2436</v>
      </c>
      <c r="G847" t="e">
        <v>#VALUE!</v>
      </c>
    </row>
    <row r="848" spans="1:7">
      <c r="A848" s="6" t="s">
        <v>2130</v>
      </c>
      <c r="B848" t="s">
        <v>965</v>
      </c>
      <c r="C848" t="s">
        <v>966</v>
      </c>
      <c r="D848" t="s">
        <v>2131</v>
      </c>
      <c r="E848" t="s">
        <v>1052</v>
      </c>
      <c r="F848" s="12">
        <v>20</v>
      </c>
      <c r="G848" t="s">
        <v>2481</v>
      </c>
    </row>
    <row r="849" spans="1:7">
      <c r="A849" s="6" t="s">
        <v>2132</v>
      </c>
      <c r="B849" t="s">
        <v>965</v>
      </c>
      <c r="C849" t="s">
        <v>966</v>
      </c>
      <c r="D849" t="s">
        <v>2133</v>
      </c>
      <c r="E849" t="s">
        <v>995</v>
      </c>
      <c r="F849" s="12">
        <v>75</v>
      </c>
      <c r="G849" t="s">
        <v>2522</v>
      </c>
    </row>
    <row r="850" spans="1:7">
      <c r="A850" s="6" t="s">
        <v>2134</v>
      </c>
      <c r="B850" t="s">
        <v>965</v>
      </c>
      <c r="C850" t="s">
        <v>966</v>
      </c>
      <c r="D850" t="s">
        <v>2135</v>
      </c>
      <c r="E850" t="s">
        <v>1052</v>
      </c>
      <c r="F850" s="12">
        <v>46</v>
      </c>
      <c r="G850" t="s">
        <v>2504</v>
      </c>
    </row>
    <row r="851" spans="1:7">
      <c r="A851" s="6" t="s">
        <v>2136</v>
      </c>
      <c r="B851" t="s">
        <v>965</v>
      </c>
      <c r="C851" t="s">
        <v>966</v>
      </c>
      <c r="D851" t="s">
        <v>2137</v>
      </c>
      <c r="E851" t="s">
        <v>1299</v>
      </c>
      <c r="F851" s="12">
        <v>51</v>
      </c>
      <c r="G851" t="s">
        <v>2508</v>
      </c>
    </row>
    <row r="852" spans="1:7">
      <c r="A852" s="6" t="s">
        <v>2138</v>
      </c>
      <c r="B852" t="s">
        <v>965</v>
      </c>
      <c r="C852" t="s">
        <v>966</v>
      </c>
      <c r="D852" t="s">
        <v>2139</v>
      </c>
      <c r="E852" t="s">
        <v>1299</v>
      </c>
      <c r="F852" s="12">
        <v>38</v>
      </c>
      <c r="G852" t="s">
        <v>2488</v>
      </c>
    </row>
    <row r="853" spans="1:7">
      <c r="A853" s="6" t="s">
        <v>2140</v>
      </c>
      <c r="B853" t="s">
        <v>965</v>
      </c>
      <c r="C853" t="s">
        <v>966</v>
      </c>
      <c r="D853" t="s">
        <v>2141</v>
      </c>
      <c r="E853" t="s">
        <v>1267</v>
      </c>
      <c r="F853" s="12">
        <v>35</v>
      </c>
      <c r="G853" t="s">
        <v>2491</v>
      </c>
    </row>
    <row r="854" spans="1:7">
      <c r="A854" s="6" t="s">
        <v>2142</v>
      </c>
      <c r="B854" t="s">
        <v>965</v>
      </c>
      <c r="C854" t="s">
        <v>966</v>
      </c>
      <c r="D854" t="s">
        <v>2143</v>
      </c>
      <c r="E854" t="s">
        <v>1354</v>
      </c>
      <c r="F854" s="12">
        <v>44</v>
      </c>
      <c r="G854" t="s">
        <v>2475</v>
      </c>
    </row>
    <row r="855" spans="1:7">
      <c r="A855" s="6" t="s">
        <v>2144</v>
      </c>
      <c r="B855" t="s">
        <v>965</v>
      </c>
      <c r="C855" t="s">
        <v>966</v>
      </c>
      <c r="D855" t="s">
        <v>2145</v>
      </c>
      <c r="E855" t="s">
        <v>995</v>
      </c>
      <c r="F855" s="12">
        <v>48</v>
      </c>
      <c r="G855" t="s">
        <v>2478</v>
      </c>
    </row>
    <row r="856" spans="1:7">
      <c r="A856" s="6" t="s">
        <v>2146</v>
      </c>
      <c r="B856" t="s">
        <v>965</v>
      </c>
      <c r="C856" t="s">
        <v>966</v>
      </c>
      <c r="D856" t="s">
        <v>2147</v>
      </c>
      <c r="E856" t="s">
        <v>1026</v>
      </c>
      <c r="F856" s="12">
        <v>42</v>
      </c>
      <c r="G856" t="s">
        <v>2486</v>
      </c>
    </row>
    <row r="857" spans="1:7">
      <c r="A857" s="6" t="s">
        <v>2148</v>
      </c>
      <c r="B857" t="s">
        <v>965</v>
      </c>
      <c r="C857" t="s">
        <v>966</v>
      </c>
      <c r="D857" t="s">
        <v>2149</v>
      </c>
      <c r="E857" t="s">
        <v>1370</v>
      </c>
      <c r="F857" s="12">
        <v>37</v>
      </c>
      <c r="G857" t="s">
        <v>2507</v>
      </c>
    </row>
    <row r="858" spans="1:7">
      <c r="A858" s="6" t="s">
        <v>2150</v>
      </c>
      <c r="B858" t="s">
        <v>965</v>
      </c>
      <c r="C858" t="s">
        <v>966</v>
      </c>
      <c r="D858" t="s">
        <v>2151</v>
      </c>
      <c r="E858" t="s">
        <v>1267</v>
      </c>
      <c r="F858" s="12">
        <v>22</v>
      </c>
      <c r="G858" t="s">
        <v>2472</v>
      </c>
    </row>
    <row r="859" spans="1:7">
      <c r="A859" s="6" t="s">
        <v>2152</v>
      </c>
      <c r="B859" t="s">
        <v>965</v>
      </c>
      <c r="C859" t="s">
        <v>966</v>
      </c>
      <c r="D859" t="s">
        <v>2153</v>
      </c>
      <c r="E859" t="s">
        <v>1202</v>
      </c>
      <c r="F859" s="12">
        <v>47</v>
      </c>
      <c r="G859" t="s">
        <v>2495</v>
      </c>
    </row>
    <row r="860" spans="1:7">
      <c r="A860" s="6" t="s">
        <v>2152</v>
      </c>
      <c r="B860" t="s">
        <v>965</v>
      </c>
      <c r="C860" t="s">
        <v>966</v>
      </c>
      <c r="D860" t="s">
        <v>2154</v>
      </c>
      <c r="E860" t="s">
        <v>995</v>
      </c>
      <c r="F860" s="12">
        <v>29</v>
      </c>
      <c r="G860" t="s">
        <v>2503</v>
      </c>
    </row>
    <row r="861" spans="1:7">
      <c r="A861" s="6" t="s">
        <v>2155</v>
      </c>
      <c r="B861" t="s">
        <v>965</v>
      </c>
      <c r="C861" t="s">
        <v>966</v>
      </c>
      <c r="D861" t="s">
        <v>2156</v>
      </c>
      <c r="E861" t="s">
        <v>1009</v>
      </c>
      <c r="F861" s="12">
        <v>48</v>
      </c>
      <c r="G861" t="s">
        <v>2478</v>
      </c>
    </row>
    <row r="862" spans="1:7">
      <c r="A862" s="6"/>
      <c r="F862" t="e">
        <v>#VALUE!</v>
      </c>
      <c r="G862" t="e">
        <v>#VALUE!</v>
      </c>
    </row>
    <row r="863" spans="1:7">
      <c r="A863" s="6" t="s">
        <v>2157</v>
      </c>
      <c r="B863" t="s">
        <v>965</v>
      </c>
      <c r="C863" t="s">
        <v>966</v>
      </c>
      <c r="D863" t="s">
        <v>2158</v>
      </c>
      <c r="E863" t="s">
        <v>1299</v>
      </c>
      <c r="F863" s="12">
        <v>35</v>
      </c>
      <c r="G863" t="s">
        <v>2491</v>
      </c>
    </row>
    <row r="864" spans="1:7">
      <c r="A864" s="6" t="s">
        <v>2159</v>
      </c>
      <c r="B864" t="s">
        <v>965</v>
      </c>
      <c r="C864" t="s">
        <v>966</v>
      </c>
      <c r="D864" t="s">
        <v>2160</v>
      </c>
      <c r="E864" t="s">
        <v>995</v>
      </c>
      <c r="F864" s="12">
        <v>27</v>
      </c>
      <c r="G864" t="s">
        <v>2509</v>
      </c>
    </row>
    <row r="865" spans="1:7">
      <c r="A865" s="6" t="s">
        <v>2161</v>
      </c>
      <c r="B865" t="s">
        <v>965</v>
      </c>
      <c r="C865" t="s">
        <v>966</v>
      </c>
      <c r="D865" t="s">
        <v>2162</v>
      </c>
      <c r="E865" t="s">
        <v>973</v>
      </c>
      <c r="F865" s="12">
        <v>35</v>
      </c>
      <c r="G865" t="s">
        <v>2491</v>
      </c>
    </row>
    <row r="866" spans="1:7">
      <c r="A866" s="6" t="s">
        <v>2163</v>
      </c>
      <c r="B866" t="s">
        <v>965</v>
      </c>
      <c r="C866" t="s">
        <v>966</v>
      </c>
      <c r="D866" t="s">
        <v>2164</v>
      </c>
      <c r="E866" t="s">
        <v>995</v>
      </c>
      <c r="F866" s="12">
        <v>25</v>
      </c>
      <c r="G866" t="s">
        <v>2513</v>
      </c>
    </row>
    <row r="867" spans="1:7">
      <c r="A867" s="6" t="s">
        <v>2165</v>
      </c>
      <c r="B867" t="s">
        <v>965</v>
      </c>
      <c r="C867" t="s">
        <v>966</v>
      </c>
      <c r="D867" t="s">
        <v>2166</v>
      </c>
      <c r="E867" t="s">
        <v>1354</v>
      </c>
      <c r="F867" s="12">
        <v>42</v>
      </c>
      <c r="G867" t="s">
        <v>2486</v>
      </c>
    </row>
    <row r="868" spans="1:7">
      <c r="A868" s="6" t="s">
        <v>2167</v>
      </c>
      <c r="B868" t="s">
        <v>965</v>
      </c>
      <c r="C868" t="s">
        <v>966</v>
      </c>
      <c r="D868" t="s">
        <v>2168</v>
      </c>
      <c r="E868" t="s">
        <v>1370</v>
      </c>
      <c r="F868" s="12">
        <v>35</v>
      </c>
      <c r="G868" t="s">
        <v>2491</v>
      </c>
    </row>
    <row r="869" spans="1:7">
      <c r="A869" s="6" t="s">
        <v>2169</v>
      </c>
      <c r="B869" t="s">
        <v>965</v>
      </c>
      <c r="C869" t="s">
        <v>966</v>
      </c>
      <c r="D869" t="s">
        <v>2170</v>
      </c>
      <c r="E869" t="s">
        <v>1202</v>
      </c>
      <c r="F869" s="12">
        <v>24</v>
      </c>
      <c r="G869" t="s">
        <v>2506</v>
      </c>
    </row>
    <row r="870" spans="1:7">
      <c r="A870" s="6" t="s">
        <v>2171</v>
      </c>
      <c r="B870" t="s">
        <v>965</v>
      </c>
      <c r="C870" t="s">
        <v>966</v>
      </c>
      <c r="D870" t="s">
        <v>2172</v>
      </c>
      <c r="E870" t="s">
        <v>1299</v>
      </c>
      <c r="F870" s="12">
        <v>48</v>
      </c>
      <c r="G870" t="s">
        <v>2478</v>
      </c>
    </row>
    <row r="871" spans="1:7">
      <c r="A871" s="6" t="s">
        <v>2173</v>
      </c>
      <c r="B871" t="s">
        <v>965</v>
      </c>
      <c r="C871" t="s">
        <v>966</v>
      </c>
      <c r="D871" t="s">
        <v>2174</v>
      </c>
      <c r="E871" t="s">
        <v>1299</v>
      </c>
      <c r="F871" s="12">
        <v>43</v>
      </c>
      <c r="G871" t="s">
        <v>2494</v>
      </c>
    </row>
    <row r="872" spans="1:7">
      <c r="A872" s="6" t="s">
        <v>2175</v>
      </c>
      <c r="B872" t="s">
        <v>965</v>
      </c>
      <c r="C872" t="s">
        <v>966</v>
      </c>
      <c r="D872" t="s">
        <v>2176</v>
      </c>
      <c r="E872" t="s">
        <v>976</v>
      </c>
      <c r="F872" s="12">
        <v>26</v>
      </c>
      <c r="G872" t="s">
        <v>2497</v>
      </c>
    </row>
    <row r="873" spans="1:7">
      <c r="A873" s="6" t="s">
        <v>2177</v>
      </c>
      <c r="B873" t="s">
        <v>965</v>
      </c>
      <c r="C873" t="s">
        <v>966</v>
      </c>
      <c r="D873" t="s">
        <v>2178</v>
      </c>
      <c r="E873" t="s">
        <v>1299</v>
      </c>
      <c r="F873" s="12">
        <v>25</v>
      </c>
      <c r="G873" t="s">
        <v>2513</v>
      </c>
    </row>
    <row r="874" spans="1:7">
      <c r="A874" s="6" t="s">
        <v>2179</v>
      </c>
      <c r="B874" t="s">
        <v>965</v>
      </c>
      <c r="C874" t="s">
        <v>966</v>
      </c>
      <c r="D874" t="s">
        <v>2180</v>
      </c>
      <c r="E874" t="s">
        <v>1202</v>
      </c>
      <c r="F874" s="12">
        <v>46</v>
      </c>
      <c r="G874" t="s">
        <v>2504</v>
      </c>
    </row>
    <row r="875" spans="1:7">
      <c r="A875" s="6" t="s">
        <v>2181</v>
      </c>
      <c r="B875" t="s">
        <v>965</v>
      </c>
      <c r="C875" t="s">
        <v>966</v>
      </c>
      <c r="D875" t="s">
        <v>2182</v>
      </c>
      <c r="E875" t="s">
        <v>1052</v>
      </c>
      <c r="F875" s="12">
        <v>45</v>
      </c>
      <c r="G875" t="s">
        <v>2470</v>
      </c>
    </row>
    <row r="876" spans="1:7">
      <c r="A876" s="6" t="s">
        <v>2183</v>
      </c>
      <c r="B876" t="s">
        <v>965</v>
      </c>
      <c r="C876" t="s">
        <v>966</v>
      </c>
      <c r="D876" t="s">
        <v>2184</v>
      </c>
      <c r="E876" t="s">
        <v>968</v>
      </c>
      <c r="F876" t="s">
        <v>2436</v>
      </c>
      <c r="G876" t="e">
        <v>#VALUE!</v>
      </c>
    </row>
    <row r="877" spans="1:7">
      <c r="A877" s="6" t="s">
        <v>2185</v>
      </c>
      <c r="B877" t="s">
        <v>965</v>
      </c>
      <c r="C877" t="s">
        <v>966</v>
      </c>
      <c r="D877" t="s">
        <v>2186</v>
      </c>
      <c r="E877" t="s">
        <v>1370</v>
      </c>
      <c r="F877" s="12">
        <v>42</v>
      </c>
      <c r="G877" t="s">
        <v>2486</v>
      </c>
    </row>
    <row r="878" spans="1:7">
      <c r="A878" s="6" t="s">
        <v>2187</v>
      </c>
      <c r="B878" t="s">
        <v>965</v>
      </c>
      <c r="C878" t="s">
        <v>966</v>
      </c>
      <c r="D878" t="s">
        <v>2188</v>
      </c>
      <c r="E878" t="s">
        <v>1299</v>
      </c>
      <c r="F878" s="12">
        <v>20</v>
      </c>
      <c r="G878" t="s">
        <v>2481</v>
      </c>
    </row>
    <row r="879" spans="1:7">
      <c r="A879" s="6" t="s">
        <v>2189</v>
      </c>
      <c r="B879" t="s">
        <v>965</v>
      </c>
      <c r="C879" t="s">
        <v>966</v>
      </c>
      <c r="D879" t="s">
        <v>2190</v>
      </c>
      <c r="E879" t="s">
        <v>1299</v>
      </c>
      <c r="F879" s="12">
        <v>48</v>
      </c>
      <c r="G879" t="s">
        <v>2478</v>
      </c>
    </row>
    <row r="880" spans="1:7">
      <c r="A880" s="6" t="s">
        <v>2191</v>
      </c>
      <c r="B880" t="s">
        <v>965</v>
      </c>
      <c r="C880" t="s">
        <v>966</v>
      </c>
      <c r="D880" t="s">
        <v>2192</v>
      </c>
      <c r="E880" t="s">
        <v>1007</v>
      </c>
      <c r="F880" s="12">
        <v>24</v>
      </c>
      <c r="G880" t="s">
        <v>2506</v>
      </c>
    </row>
    <row r="881" spans="1:7">
      <c r="A881" s="6" t="s">
        <v>2193</v>
      </c>
      <c r="B881" t="s">
        <v>965</v>
      </c>
      <c r="C881" t="s">
        <v>966</v>
      </c>
      <c r="D881" t="s">
        <v>2194</v>
      </c>
      <c r="E881" t="s">
        <v>1267</v>
      </c>
      <c r="F881" s="12">
        <v>24</v>
      </c>
      <c r="G881" t="s">
        <v>2506</v>
      </c>
    </row>
    <row r="882" spans="1:7">
      <c r="A882" s="6" t="s">
        <v>2195</v>
      </c>
      <c r="B882" t="s">
        <v>965</v>
      </c>
      <c r="C882" t="s">
        <v>966</v>
      </c>
      <c r="D882" t="s">
        <v>2196</v>
      </c>
      <c r="E882" t="s">
        <v>1267</v>
      </c>
      <c r="F882" s="12">
        <v>59</v>
      </c>
      <c r="G882" t="s">
        <v>2527</v>
      </c>
    </row>
    <row r="883" spans="1:7">
      <c r="A883" s="6" t="s">
        <v>2197</v>
      </c>
      <c r="B883" t="s">
        <v>965</v>
      </c>
      <c r="C883" t="s">
        <v>966</v>
      </c>
      <c r="D883" t="s">
        <v>2198</v>
      </c>
      <c r="E883" t="s">
        <v>1009</v>
      </c>
      <c r="F883" s="12">
        <v>18</v>
      </c>
      <c r="G883" t="s">
        <v>2477</v>
      </c>
    </row>
    <row r="884" spans="1:7">
      <c r="A884" s="6" t="s">
        <v>2199</v>
      </c>
      <c r="B884" t="s">
        <v>965</v>
      </c>
      <c r="C884" t="s">
        <v>966</v>
      </c>
      <c r="D884" t="s">
        <v>2200</v>
      </c>
      <c r="E884" t="s">
        <v>1299</v>
      </c>
      <c r="F884" s="12">
        <v>43</v>
      </c>
      <c r="G884" t="s">
        <v>2494</v>
      </c>
    </row>
    <row r="885" spans="1:7">
      <c r="A885" s="6" t="s">
        <v>2201</v>
      </c>
      <c r="B885" t="s">
        <v>965</v>
      </c>
      <c r="C885" t="s">
        <v>966</v>
      </c>
      <c r="D885" t="s">
        <v>2202</v>
      </c>
      <c r="E885" t="s">
        <v>1009</v>
      </c>
      <c r="F885" s="12">
        <v>49</v>
      </c>
      <c r="G885" t="s">
        <v>2493</v>
      </c>
    </row>
    <row r="886" spans="1:7">
      <c r="A886" s="6" t="s">
        <v>2203</v>
      </c>
      <c r="B886" t="s">
        <v>965</v>
      </c>
      <c r="C886" t="s">
        <v>966</v>
      </c>
      <c r="D886" t="s">
        <v>2204</v>
      </c>
      <c r="E886" t="s">
        <v>1370</v>
      </c>
      <c r="F886" s="12">
        <v>36</v>
      </c>
      <c r="G886" t="s">
        <v>2473</v>
      </c>
    </row>
    <row r="887" spans="1:7">
      <c r="A887" s="6" t="s">
        <v>2205</v>
      </c>
      <c r="B887" t="s">
        <v>965</v>
      </c>
      <c r="C887" t="s">
        <v>966</v>
      </c>
      <c r="D887" t="s">
        <v>2206</v>
      </c>
      <c r="E887" t="s">
        <v>1202</v>
      </c>
      <c r="F887" s="12">
        <v>39</v>
      </c>
      <c r="G887" t="s">
        <v>2515</v>
      </c>
    </row>
    <row r="888" spans="1:7">
      <c r="A888" s="6" t="s">
        <v>2207</v>
      </c>
      <c r="B888" t="s">
        <v>965</v>
      </c>
      <c r="C888" t="s">
        <v>966</v>
      </c>
      <c r="D888" t="s">
        <v>2208</v>
      </c>
      <c r="E888" t="s">
        <v>1026</v>
      </c>
      <c r="F888" s="12">
        <v>35</v>
      </c>
      <c r="G888" t="s">
        <v>2491</v>
      </c>
    </row>
    <row r="889" spans="1:7">
      <c r="A889" s="6" t="s">
        <v>2209</v>
      </c>
      <c r="B889" t="s">
        <v>965</v>
      </c>
      <c r="C889" t="s">
        <v>966</v>
      </c>
      <c r="D889" t="s">
        <v>2210</v>
      </c>
      <c r="E889" t="s">
        <v>1202</v>
      </c>
      <c r="F889" s="12">
        <v>22</v>
      </c>
      <c r="G889" t="s">
        <v>2472</v>
      </c>
    </row>
    <row r="890" spans="1:7">
      <c r="A890" s="6" t="s">
        <v>2211</v>
      </c>
      <c r="B890" t="s">
        <v>965</v>
      </c>
      <c r="C890" t="s">
        <v>966</v>
      </c>
      <c r="D890" t="s">
        <v>2212</v>
      </c>
      <c r="E890" t="s">
        <v>1299</v>
      </c>
      <c r="F890" s="12">
        <v>57</v>
      </c>
      <c r="G890" t="s">
        <v>2498</v>
      </c>
    </row>
    <row r="891" spans="1:7">
      <c r="A891" s="6" t="s">
        <v>2213</v>
      </c>
      <c r="B891" t="s">
        <v>965</v>
      </c>
      <c r="C891" t="s">
        <v>966</v>
      </c>
      <c r="D891" t="s">
        <v>2214</v>
      </c>
      <c r="E891" t="s">
        <v>1095</v>
      </c>
      <c r="F891" s="12">
        <v>41</v>
      </c>
      <c r="G891" t="s">
        <v>2517</v>
      </c>
    </row>
    <row r="892" spans="1:7">
      <c r="A892" s="6"/>
    </row>
    <row r="893" spans="1:7">
      <c r="A893" s="6" t="s">
        <v>2215</v>
      </c>
      <c r="B893" t="s">
        <v>965</v>
      </c>
      <c r="C893" t="s">
        <v>966</v>
      </c>
      <c r="D893" t="s">
        <v>2216</v>
      </c>
      <c r="E893" t="s">
        <v>1012</v>
      </c>
      <c r="F893" s="12">
        <v>20</v>
      </c>
      <c r="G893" t="s">
        <v>2481</v>
      </c>
    </row>
    <row r="894" spans="1:7">
      <c r="A894" s="6" t="s">
        <v>2217</v>
      </c>
      <c r="B894" t="s">
        <v>965</v>
      </c>
      <c r="C894" t="s">
        <v>966</v>
      </c>
      <c r="D894" t="s">
        <v>2218</v>
      </c>
      <c r="E894" t="s">
        <v>1007</v>
      </c>
      <c r="F894" s="12">
        <v>68</v>
      </c>
      <c r="G894" t="s">
        <v>2528</v>
      </c>
    </row>
    <row r="895" spans="1:7">
      <c r="A895" s="6" t="s">
        <v>2219</v>
      </c>
      <c r="B895" t="s">
        <v>965</v>
      </c>
      <c r="C895" t="s">
        <v>966</v>
      </c>
      <c r="D895" t="s">
        <v>2220</v>
      </c>
      <c r="E895" t="s">
        <v>976</v>
      </c>
      <c r="F895" s="12">
        <v>20</v>
      </c>
      <c r="G895" t="s">
        <v>2481</v>
      </c>
    </row>
    <row r="896" spans="1:7">
      <c r="A896" s="6" t="s">
        <v>2221</v>
      </c>
      <c r="B896" t="s">
        <v>965</v>
      </c>
      <c r="C896" t="s">
        <v>966</v>
      </c>
      <c r="D896" t="s">
        <v>2222</v>
      </c>
      <c r="E896" t="s">
        <v>1012</v>
      </c>
      <c r="F896" s="12">
        <v>25</v>
      </c>
      <c r="G896" t="s">
        <v>2513</v>
      </c>
    </row>
    <row r="897" spans="1:7">
      <c r="A897" s="6" t="s">
        <v>2223</v>
      </c>
      <c r="B897" t="s">
        <v>965</v>
      </c>
      <c r="C897" t="s">
        <v>966</v>
      </c>
      <c r="D897" t="s">
        <v>2224</v>
      </c>
      <c r="E897" t="s">
        <v>1005</v>
      </c>
      <c r="F897" s="12">
        <v>33</v>
      </c>
      <c r="G897" t="s">
        <v>2500</v>
      </c>
    </row>
    <row r="898" spans="1:7">
      <c r="A898" s="6" t="s">
        <v>2225</v>
      </c>
      <c r="B898" t="s">
        <v>965</v>
      </c>
      <c r="C898" t="s">
        <v>966</v>
      </c>
      <c r="D898" t="s">
        <v>2226</v>
      </c>
      <c r="E898" t="s">
        <v>1012</v>
      </c>
      <c r="F898" s="12">
        <v>47</v>
      </c>
      <c r="G898" t="s">
        <v>2495</v>
      </c>
    </row>
    <row r="899" spans="1:7">
      <c r="A899" s="6"/>
    </row>
    <row r="900" spans="1:7">
      <c r="A900" s="6" t="s">
        <v>2227</v>
      </c>
      <c r="B900" t="s">
        <v>965</v>
      </c>
      <c r="C900" t="s">
        <v>966</v>
      </c>
      <c r="D900" t="s">
        <v>2228</v>
      </c>
      <c r="E900" t="s">
        <v>1007</v>
      </c>
      <c r="F900" s="12">
        <v>63</v>
      </c>
      <c r="G900" t="s">
        <v>2510</v>
      </c>
    </row>
    <row r="901" spans="1:7">
      <c r="A901" s="6" t="s">
        <v>2229</v>
      </c>
      <c r="B901" t="s">
        <v>965</v>
      </c>
      <c r="C901" t="s">
        <v>966</v>
      </c>
      <c r="D901" t="s">
        <v>2230</v>
      </c>
      <c r="E901" t="s">
        <v>976</v>
      </c>
      <c r="F901" s="12">
        <v>19</v>
      </c>
      <c r="G901" t="s">
        <v>2483</v>
      </c>
    </row>
    <row r="902" spans="1:7">
      <c r="A902" s="6" t="s">
        <v>2231</v>
      </c>
      <c r="B902" t="s">
        <v>965</v>
      </c>
      <c r="C902" t="s">
        <v>966</v>
      </c>
      <c r="D902" t="s">
        <v>2232</v>
      </c>
      <c r="E902" t="s">
        <v>1012</v>
      </c>
      <c r="F902" s="12">
        <v>45</v>
      </c>
      <c r="G902" t="s">
        <v>2470</v>
      </c>
    </row>
    <row r="903" spans="1:7">
      <c r="A903" s="6" t="s">
        <v>2233</v>
      </c>
      <c r="B903" t="s">
        <v>965</v>
      </c>
      <c r="C903" t="s">
        <v>966</v>
      </c>
      <c r="D903" t="s">
        <v>2234</v>
      </c>
      <c r="E903" t="s">
        <v>1007</v>
      </c>
      <c r="F903" s="12">
        <v>23</v>
      </c>
      <c r="G903" t="s">
        <v>2520</v>
      </c>
    </row>
    <row r="904" spans="1:7">
      <c r="A904" s="6"/>
    </row>
    <row r="905" spans="1:7">
      <c r="A905" s="6" t="s">
        <v>2235</v>
      </c>
      <c r="B905" t="s">
        <v>965</v>
      </c>
      <c r="C905" t="s">
        <v>966</v>
      </c>
      <c r="D905" t="s">
        <v>2236</v>
      </c>
      <c r="E905" t="s">
        <v>976</v>
      </c>
      <c r="F905" s="12">
        <v>22</v>
      </c>
      <c r="G905" t="s">
        <v>2472</v>
      </c>
    </row>
    <row r="906" spans="1:7">
      <c r="A906" s="6"/>
    </row>
    <row r="907" spans="1:7">
      <c r="A907" s="6" t="s">
        <v>2237</v>
      </c>
      <c r="B907" t="s">
        <v>965</v>
      </c>
      <c r="C907" t="s">
        <v>966</v>
      </c>
      <c r="D907" t="s">
        <v>2238</v>
      </c>
      <c r="E907" t="s">
        <v>1117</v>
      </c>
      <c r="F907" s="12">
        <v>33</v>
      </c>
      <c r="G907" t="s">
        <v>2500</v>
      </c>
    </row>
    <row r="908" spans="1:7">
      <c r="A908" s="6"/>
    </row>
    <row r="909" spans="1:7">
      <c r="A909" s="6" t="s">
        <v>2239</v>
      </c>
      <c r="B909" t="s">
        <v>965</v>
      </c>
      <c r="C909" t="s">
        <v>966</v>
      </c>
      <c r="D909" t="s">
        <v>2240</v>
      </c>
      <c r="E909" t="s">
        <v>986</v>
      </c>
      <c r="F909" s="12">
        <v>22</v>
      </c>
      <c r="G909" t="s">
        <v>2472</v>
      </c>
    </row>
    <row r="910" spans="1:7">
      <c r="A910" s="6"/>
    </row>
    <row r="911" spans="1:7">
      <c r="A911" s="6" t="s">
        <v>566</v>
      </c>
      <c r="B911" t="s">
        <v>965</v>
      </c>
      <c r="C911" t="s">
        <v>966</v>
      </c>
      <c r="D911" t="s">
        <v>2241</v>
      </c>
      <c r="E911" t="s">
        <v>1020</v>
      </c>
      <c r="F911" s="12">
        <v>47</v>
      </c>
      <c r="G911" t="s">
        <v>2495</v>
      </c>
    </row>
    <row r="912" spans="1:7">
      <c r="A912" s="6"/>
    </row>
    <row r="913" spans="1:7">
      <c r="A913" s="6" t="s">
        <v>2242</v>
      </c>
      <c r="B913" t="s">
        <v>965</v>
      </c>
      <c r="C913" t="s">
        <v>966</v>
      </c>
      <c r="D913" t="s">
        <v>2243</v>
      </c>
      <c r="E913" t="s">
        <v>973</v>
      </c>
      <c r="F913" s="12">
        <v>34</v>
      </c>
      <c r="G913" t="s">
        <v>2496</v>
      </c>
    </row>
    <row r="914" spans="1:7">
      <c r="A914" s="6"/>
    </row>
    <row r="915" spans="1:7">
      <c r="A915" s="6" t="s">
        <v>5166</v>
      </c>
      <c r="B915" t="s">
        <v>965</v>
      </c>
      <c r="C915" t="s">
        <v>966</v>
      </c>
      <c r="D915" t="s">
        <v>2244</v>
      </c>
      <c r="E915" t="s">
        <v>1095</v>
      </c>
      <c r="F915" s="12">
        <v>30</v>
      </c>
      <c r="G915" t="s">
        <v>2485</v>
      </c>
    </row>
    <row r="916" spans="1:7">
      <c r="A916" s="6" t="s">
        <v>5167</v>
      </c>
      <c r="B916" t="s">
        <v>965</v>
      </c>
      <c r="C916" t="s">
        <v>966</v>
      </c>
      <c r="D916" t="s">
        <v>2245</v>
      </c>
      <c r="E916" t="s">
        <v>1095</v>
      </c>
      <c r="F916" s="12">
        <v>65</v>
      </c>
      <c r="G916" t="s">
        <v>2514</v>
      </c>
    </row>
    <row r="917" spans="1:7">
      <c r="A917" s="6" t="s">
        <v>5168</v>
      </c>
      <c r="B917" t="s">
        <v>965</v>
      </c>
      <c r="C917" t="s">
        <v>966</v>
      </c>
      <c r="D917" t="s">
        <v>2246</v>
      </c>
      <c r="E917" t="s">
        <v>995</v>
      </c>
      <c r="F917" s="12">
        <v>25</v>
      </c>
      <c r="G917" t="s">
        <v>2513</v>
      </c>
    </row>
    <row r="918" spans="1:7">
      <c r="A918" s="6" t="s">
        <v>5169</v>
      </c>
      <c r="B918" t="s">
        <v>965</v>
      </c>
      <c r="C918" t="s">
        <v>966</v>
      </c>
      <c r="D918" t="s">
        <v>2247</v>
      </c>
      <c r="E918" t="s">
        <v>968</v>
      </c>
      <c r="F918" s="12">
        <v>27</v>
      </c>
      <c r="G918" t="s">
        <v>2509</v>
      </c>
    </row>
    <row r="919" spans="1:7">
      <c r="A919" s="6" t="s">
        <v>5170</v>
      </c>
      <c r="B919" t="s">
        <v>965</v>
      </c>
      <c r="C919" t="s">
        <v>966</v>
      </c>
      <c r="D919" t="s">
        <v>2248</v>
      </c>
      <c r="E919" t="s">
        <v>1095</v>
      </c>
      <c r="F919" s="12">
        <v>42</v>
      </c>
      <c r="G919" t="s">
        <v>2486</v>
      </c>
    </row>
    <row r="920" spans="1:7">
      <c r="A920" s="6" t="s">
        <v>5171</v>
      </c>
      <c r="B920" t="s">
        <v>965</v>
      </c>
      <c r="C920" t="s">
        <v>966</v>
      </c>
      <c r="D920" t="s">
        <v>2249</v>
      </c>
      <c r="E920" t="s">
        <v>1095</v>
      </c>
      <c r="F920" s="12">
        <v>60</v>
      </c>
      <c r="G920" t="s">
        <v>2484</v>
      </c>
    </row>
    <row r="921" spans="1:7">
      <c r="A921" s="6" t="s">
        <v>5172</v>
      </c>
      <c r="B921" t="s">
        <v>965</v>
      </c>
      <c r="C921" t="s">
        <v>966</v>
      </c>
      <c r="D921" t="s">
        <v>2250</v>
      </c>
      <c r="E921" t="s">
        <v>1354</v>
      </c>
      <c r="F921" s="12">
        <v>62</v>
      </c>
      <c r="G921" t="s">
        <v>2505</v>
      </c>
    </row>
    <row r="922" spans="1:7">
      <c r="A922" s="6" t="s">
        <v>5173</v>
      </c>
      <c r="B922" t="s">
        <v>965</v>
      </c>
      <c r="C922" t="s">
        <v>966</v>
      </c>
      <c r="D922" t="s">
        <v>2251</v>
      </c>
      <c r="E922" t="s">
        <v>1202</v>
      </c>
      <c r="F922" s="12">
        <v>20</v>
      </c>
      <c r="G922" t="s">
        <v>2481</v>
      </c>
    </row>
    <row r="923" spans="1:7">
      <c r="A923" s="6" t="s">
        <v>5174</v>
      </c>
      <c r="B923" t="s">
        <v>965</v>
      </c>
      <c r="C923" t="s">
        <v>966</v>
      </c>
      <c r="D923" t="s">
        <v>2252</v>
      </c>
      <c r="E923" t="s">
        <v>973</v>
      </c>
      <c r="F923" s="12">
        <v>50</v>
      </c>
      <c r="G923" t="s">
        <v>2490</v>
      </c>
    </row>
    <row r="924" spans="1:7">
      <c r="A924" s="6" t="s">
        <v>5175</v>
      </c>
      <c r="B924" t="s">
        <v>965</v>
      </c>
      <c r="C924" t="s">
        <v>966</v>
      </c>
      <c r="D924" t="s">
        <v>2253</v>
      </c>
      <c r="E924" t="s">
        <v>1370</v>
      </c>
      <c r="F924" s="12">
        <v>26</v>
      </c>
      <c r="G924" t="s">
        <v>2497</v>
      </c>
    </row>
    <row r="925" spans="1:7">
      <c r="A925" s="6" t="s">
        <v>5176</v>
      </c>
      <c r="B925" t="s">
        <v>965</v>
      </c>
      <c r="C925" t="s">
        <v>966</v>
      </c>
      <c r="D925" t="s">
        <v>2254</v>
      </c>
      <c r="E925" t="s">
        <v>1095</v>
      </c>
      <c r="F925" s="12">
        <v>37</v>
      </c>
      <c r="G925" t="s">
        <v>2507</v>
      </c>
    </row>
    <row r="926" spans="1:7">
      <c r="A926" s="6" t="s">
        <v>5177</v>
      </c>
      <c r="B926" t="s">
        <v>965</v>
      </c>
      <c r="C926" t="s">
        <v>966</v>
      </c>
      <c r="D926" t="s">
        <v>2255</v>
      </c>
      <c r="E926" t="s">
        <v>1370</v>
      </c>
      <c r="F926" s="12">
        <v>63</v>
      </c>
      <c r="G926" t="s">
        <v>2510</v>
      </c>
    </row>
    <row r="927" spans="1:7">
      <c r="A927" s="6" t="s">
        <v>5177</v>
      </c>
      <c r="B927" t="s">
        <v>965</v>
      </c>
      <c r="C927" t="s">
        <v>966</v>
      </c>
      <c r="D927" t="s">
        <v>2256</v>
      </c>
      <c r="E927" t="s">
        <v>1272</v>
      </c>
    </row>
    <row r="928" spans="1:7">
      <c r="A928" s="6" t="s">
        <v>5178</v>
      </c>
      <c r="B928" t="s">
        <v>965</v>
      </c>
      <c r="C928" t="s">
        <v>966</v>
      </c>
      <c r="D928" t="s">
        <v>2257</v>
      </c>
      <c r="E928" t="s">
        <v>1026</v>
      </c>
      <c r="F928" s="12">
        <v>22</v>
      </c>
      <c r="G928" t="s">
        <v>2472</v>
      </c>
    </row>
    <row r="929" spans="1:7">
      <c r="A929" s="6" t="s">
        <v>5096</v>
      </c>
      <c r="B929" t="s">
        <v>965</v>
      </c>
      <c r="C929" t="s">
        <v>966</v>
      </c>
      <c r="D929" t="s">
        <v>2258</v>
      </c>
      <c r="E929" t="s">
        <v>1128</v>
      </c>
      <c r="F929" s="12">
        <v>47</v>
      </c>
      <c r="G929" t="s">
        <v>2495</v>
      </c>
    </row>
    <row r="930" spans="1:7">
      <c r="A930" s="6" t="s">
        <v>5179</v>
      </c>
      <c r="B930" t="s">
        <v>965</v>
      </c>
      <c r="C930" t="s">
        <v>966</v>
      </c>
      <c r="D930" t="s">
        <v>2259</v>
      </c>
      <c r="E930" t="s">
        <v>986</v>
      </c>
      <c r="F930" s="12">
        <v>40</v>
      </c>
      <c r="G930" t="s">
        <v>2489</v>
      </c>
    </row>
    <row r="931" spans="1:7">
      <c r="A931" s="6" t="s">
        <v>5179</v>
      </c>
      <c r="B931" t="s">
        <v>965</v>
      </c>
      <c r="C931" t="s">
        <v>966</v>
      </c>
      <c r="D931" t="s">
        <v>2260</v>
      </c>
      <c r="E931" t="s">
        <v>995</v>
      </c>
      <c r="F931" s="12">
        <v>47</v>
      </c>
      <c r="G931" t="s">
        <v>2495</v>
      </c>
    </row>
    <row r="932" spans="1:7">
      <c r="A932" s="6" t="s">
        <v>5180</v>
      </c>
      <c r="B932" t="s">
        <v>965</v>
      </c>
      <c r="C932" t="s">
        <v>966</v>
      </c>
      <c r="D932" t="s">
        <v>2261</v>
      </c>
      <c r="E932" t="s">
        <v>986</v>
      </c>
      <c r="F932" s="12">
        <v>60</v>
      </c>
      <c r="G932" t="s">
        <v>2484</v>
      </c>
    </row>
    <row r="933" spans="1:7">
      <c r="A933" s="6" t="s">
        <v>5181</v>
      </c>
      <c r="B933" t="s">
        <v>965</v>
      </c>
      <c r="C933" t="s">
        <v>966</v>
      </c>
      <c r="D933" t="s">
        <v>2262</v>
      </c>
      <c r="E933" t="s">
        <v>1043</v>
      </c>
      <c r="F933" s="12">
        <v>30</v>
      </c>
      <c r="G933" t="s">
        <v>2485</v>
      </c>
    </row>
    <row r="934" spans="1:7">
      <c r="A934" s="6" t="s">
        <v>5182</v>
      </c>
      <c r="B934" t="s">
        <v>965</v>
      </c>
      <c r="C934" t="s">
        <v>966</v>
      </c>
      <c r="D934" t="s">
        <v>2263</v>
      </c>
      <c r="E934" t="s">
        <v>1095</v>
      </c>
      <c r="F934" s="12">
        <v>22</v>
      </c>
      <c r="G934" t="s">
        <v>2472</v>
      </c>
    </row>
    <row r="935" spans="1:7">
      <c r="A935" s="6" t="s">
        <v>5183</v>
      </c>
      <c r="B935" t="s">
        <v>965</v>
      </c>
      <c r="C935" t="s">
        <v>966</v>
      </c>
      <c r="D935" t="s">
        <v>2264</v>
      </c>
      <c r="E935" t="s">
        <v>968</v>
      </c>
      <c r="F935" s="12">
        <v>33</v>
      </c>
      <c r="G935" t="s">
        <v>2500</v>
      </c>
    </row>
    <row r="936" spans="1:7">
      <c r="A936" s="6" t="s">
        <v>5184</v>
      </c>
      <c r="B936" t="s">
        <v>965</v>
      </c>
      <c r="C936" t="s">
        <v>966</v>
      </c>
      <c r="D936" t="s">
        <v>2265</v>
      </c>
      <c r="E936" t="s">
        <v>1128</v>
      </c>
      <c r="F936" s="12">
        <v>37</v>
      </c>
      <c r="G936" t="s">
        <v>2507</v>
      </c>
    </row>
    <row r="937" spans="1:7">
      <c r="A937" s="6" t="s">
        <v>5185</v>
      </c>
      <c r="B937" t="s">
        <v>965</v>
      </c>
      <c r="C937" t="s">
        <v>966</v>
      </c>
      <c r="D937" t="s">
        <v>2266</v>
      </c>
      <c r="E937" t="s">
        <v>1370</v>
      </c>
      <c r="F937" s="12">
        <v>35</v>
      </c>
      <c r="G937" t="s">
        <v>2491</v>
      </c>
    </row>
    <row r="938" spans="1:7">
      <c r="A938" s="6" t="s">
        <v>5186</v>
      </c>
      <c r="B938" t="s">
        <v>965</v>
      </c>
      <c r="C938" t="s">
        <v>966</v>
      </c>
      <c r="D938" t="s">
        <v>2267</v>
      </c>
      <c r="E938" t="s">
        <v>1043</v>
      </c>
      <c r="F938" s="12">
        <v>57</v>
      </c>
      <c r="G938" t="s">
        <v>2498</v>
      </c>
    </row>
    <row r="939" spans="1:7">
      <c r="A939" s="6" t="s">
        <v>5187</v>
      </c>
      <c r="B939" t="s">
        <v>965</v>
      </c>
      <c r="C939" t="s">
        <v>966</v>
      </c>
      <c r="D939" t="s">
        <v>2268</v>
      </c>
      <c r="E939" t="s">
        <v>1043</v>
      </c>
      <c r="F939" s="12">
        <v>44</v>
      </c>
      <c r="G939" t="s">
        <v>2475</v>
      </c>
    </row>
    <row r="940" spans="1:7">
      <c r="A940" s="6" t="s">
        <v>5188</v>
      </c>
      <c r="B940" t="s">
        <v>965</v>
      </c>
      <c r="C940" t="s">
        <v>966</v>
      </c>
      <c r="D940" t="s">
        <v>2269</v>
      </c>
      <c r="E940" t="s">
        <v>1095</v>
      </c>
      <c r="F940" s="12">
        <v>52</v>
      </c>
      <c r="G940" t="s">
        <v>2499</v>
      </c>
    </row>
    <row r="941" spans="1:7">
      <c r="A941" s="6" t="s">
        <v>5088</v>
      </c>
      <c r="B941" t="s">
        <v>965</v>
      </c>
      <c r="C941" t="s">
        <v>966</v>
      </c>
      <c r="D941" t="s">
        <v>2270</v>
      </c>
      <c r="E941" t="s">
        <v>968</v>
      </c>
    </row>
    <row r="942" spans="1:7">
      <c r="A942" s="6" t="s">
        <v>5189</v>
      </c>
      <c r="B942" t="s">
        <v>965</v>
      </c>
      <c r="C942" t="s">
        <v>966</v>
      </c>
      <c r="D942" t="s">
        <v>2271</v>
      </c>
      <c r="E942" t="s">
        <v>968</v>
      </c>
      <c r="F942" s="12">
        <v>25</v>
      </c>
      <c r="G942" t="s">
        <v>2513</v>
      </c>
    </row>
    <row r="943" spans="1:7">
      <c r="A943" s="6" t="s">
        <v>5190</v>
      </c>
      <c r="B943" t="s">
        <v>965</v>
      </c>
      <c r="C943" t="s">
        <v>966</v>
      </c>
      <c r="D943" t="s">
        <v>2272</v>
      </c>
      <c r="E943" t="s">
        <v>1095</v>
      </c>
      <c r="F943" s="12">
        <v>20</v>
      </c>
      <c r="G943" t="s">
        <v>2481</v>
      </c>
    </row>
    <row r="944" spans="1:7">
      <c r="A944" s="6" t="s">
        <v>5191</v>
      </c>
      <c r="B944" t="s">
        <v>965</v>
      </c>
      <c r="C944" t="s">
        <v>966</v>
      </c>
      <c r="D944" t="s">
        <v>2273</v>
      </c>
      <c r="E944" t="s">
        <v>968</v>
      </c>
      <c r="F944" s="12">
        <v>60</v>
      </c>
      <c r="G944" t="s">
        <v>2484</v>
      </c>
    </row>
    <row r="945" spans="1:7">
      <c r="A945" s="6" t="s">
        <v>5146</v>
      </c>
      <c r="B945" t="s">
        <v>965</v>
      </c>
      <c r="C945" t="s">
        <v>966</v>
      </c>
      <c r="D945" t="s">
        <v>2274</v>
      </c>
      <c r="E945" t="s">
        <v>1202</v>
      </c>
      <c r="F945" s="12">
        <v>25</v>
      </c>
      <c r="G945" t="s">
        <v>2513</v>
      </c>
    </row>
    <row r="946" spans="1:7">
      <c r="A946" s="6" t="s">
        <v>5146</v>
      </c>
      <c r="B946" t="s">
        <v>965</v>
      </c>
      <c r="C946" t="s">
        <v>966</v>
      </c>
      <c r="D946" t="s">
        <v>2275</v>
      </c>
      <c r="E946" t="s">
        <v>968</v>
      </c>
      <c r="F946" s="12">
        <v>49</v>
      </c>
      <c r="G946" t="s">
        <v>2493</v>
      </c>
    </row>
    <row r="947" spans="1:7">
      <c r="A947" s="6" t="s">
        <v>5146</v>
      </c>
      <c r="B947" t="s">
        <v>965</v>
      </c>
      <c r="C947" t="s">
        <v>966</v>
      </c>
      <c r="D947" t="s">
        <v>2276</v>
      </c>
      <c r="E947" t="s">
        <v>995</v>
      </c>
      <c r="F947" s="12">
        <v>20</v>
      </c>
      <c r="G947" t="s">
        <v>2481</v>
      </c>
    </row>
    <row r="948" spans="1:7">
      <c r="A948" s="6" t="s">
        <v>5192</v>
      </c>
      <c r="B948" t="s">
        <v>965</v>
      </c>
      <c r="C948" t="s">
        <v>966</v>
      </c>
      <c r="D948" t="s">
        <v>2277</v>
      </c>
      <c r="E948" t="s">
        <v>1128</v>
      </c>
      <c r="F948" s="12">
        <v>76</v>
      </c>
      <c r="G948" t="s">
        <v>2502</v>
      </c>
    </row>
    <row r="949" spans="1:7">
      <c r="A949" s="6" t="s">
        <v>5193</v>
      </c>
      <c r="B949" t="s">
        <v>965</v>
      </c>
      <c r="C949" t="s">
        <v>966</v>
      </c>
      <c r="D949" t="s">
        <v>2278</v>
      </c>
      <c r="E949" t="s">
        <v>1052</v>
      </c>
      <c r="F949" s="12">
        <v>19</v>
      </c>
      <c r="G949" t="s">
        <v>2483</v>
      </c>
    </row>
    <row r="950" spans="1:7">
      <c r="A950" s="6" t="s">
        <v>5194</v>
      </c>
      <c r="B950" t="s">
        <v>965</v>
      </c>
      <c r="C950" t="s">
        <v>966</v>
      </c>
      <c r="D950" t="s">
        <v>2279</v>
      </c>
      <c r="E950" t="s">
        <v>976</v>
      </c>
      <c r="F950" s="12">
        <v>43</v>
      </c>
      <c r="G950" t="s">
        <v>2494</v>
      </c>
    </row>
    <row r="951" spans="1:7">
      <c r="A951" s="6" t="s">
        <v>5086</v>
      </c>
      <c r="B951" t="s">
        <v>965</v>
      </c>
      <c r="C951" t="s">
        <v>966</v>
      </c>
      <c r="D951" t="s">
        <v>2280</v>
      </c>
      <c r="E951" t="s">
        <v>968</v>
      </c>
      <c r="F951" s="12">
        <v>38</v>
      </c>
      <c r="G951" t="s">
        <v>2488</v>
      </c>
    </row>
    <row r="952" spans="1:7">
      <c r="A952" s="6" t="s">
        <v>5195</v>
      </c>
      <c r="B952" t="s">
        <v>965</v>
      </c>
      <c r="C952" t="s">
        <v>966</v>
      </c>
      <c r="D952" t="s">
        <v>2281</v>
      </c>
      <c r="E952" t="s">
        <v>968</v>
      </c>
      <c r="F952" s="12">
        <v>33</v>
      </c>
      <c r="G952" t="s">
        <v>2500</v>
      </c>
    </row>
    <row r="953" spans="1:7">
      <c r="A953" s="6" t="s">
        <v>5196</v>
      </c>
      <c r="B953" t="s">
        <v>965</v>
      </c>
      <c r="C953" t="s">
        <v>966</v>
      </c>
      <c r="D953" t="s">
        <v>2282</v>
      </c>
      <c r="E953" t="s">
        <v>1043</v>
      </c>
      <c r="F953" s="12">
        <v>24</v>
      </c>
      <c r="G953" t="s">
        <v>2506</v>
      </c>
    </row>
    <row r="954" spans="1:7">
      <c r="A954" s="6" t="s">
        <v>5197</v>
      </c>
      <c r="B954" t="s">
        <v>965</v>
      </c>
      <c r="C954" t="s">
        <v>966</v>
      </c>
      <c r="D954" t="s">
        <v>2283</v>
      </c>
      <c r="E954" t="s">
        <v>1052</v>
      </c>
      <c r="F954" s="12">
        <v>46</v>
      </c>
      <c r="G954" t="s">
        <v>2504</v>
      </c>
    </row>
    <row r="955" spans="1:7">
      <c r="A955" s="6" t="s">
        <v>5198</v>
      </c>
      <c r="B955" t="s">
        <v>965</v>
      </c>
      <c r="C955" t="s">
        <v>966</v>
      </c>
      <c r="D955" t="s">
        <v>2284</v>
      </c>
      <c r="E955" t="s">
        <v>1370</v>
      </c>
      <c r="F955" s="12">
        <v>18</v>
      </c>
      <c r="G955" t="s">
        <v>2477</v>
      </c>
    </row>
    <row r="956" spans="1:7">
      <c r="A956" s="6" t="s">
        <v>5199</v>
      </c>
      <c r="B956" t="s">
        <v>965</v>
      </c>
      <c r="C956" t="s">
        <v>966</v>
      </c>
      <c r="D956" t="s">
        <v>2285</v>
      </c>
      <c r="E956" t="s">
        <v>1043</v>
      </c>
      <c r="F956" s="12">
        <v>18</v>
      </c>
      <c r="G956" t="s">
        <v>2477</v>
      </c>
    </row>
    <row r="957" spans="1:7">
      <c r="A957" s="6" t="s">
        <v>5200</v>
      </c>
      <c r="B957" t="s">
        <v>965</v>
      </c>
      <c r="C957" t="s">
        <v>966</v>
      </c>
      <c r="D957" t="s">
        <v>2286</v>
      </c>
      <c r="E957" t="s">
        <v>1007</v>
      </c>
      <c r="F957" s="12">
        <v>75</v>
      </c>
      <c r="G957" t="s">
        <v>2522</v>
      </c>
    </row>
    <row r="958" spans="1:7">
      <c r="A958" s="6" t="s">
        <v>5201</v>
      </c>
      <c r="B958" t="s">
        <v>965</v>
      </c>
      <c r="C958" t="s">
        <v>966</v>
      </c>
      <c r="D958" t="s">
        <v>2287</v>
      </c>
      <c r="E958" t="s">
        <v>1052</v>
      </c>
      <c r="F958" s="12">
        <v>25</v>
      </c>
      <c r="G958" t="s">
        <v>2513</v>
      </c>
    </row>
    <row r="959" spans="1:7">
      <c r="A959" s="6" t="s">
        <v>5202</v>
      </c>
      <c r="B959" t="s">
        <v>965</v>
      </c>
      <c r="C959" t="s">
        <v>966</v>
      </c>
      <c r="D959" t="s">
        <v>2288</v>
      </c>
      <c r="E959" t="s">
        <v>968</v>
      </c>
      <c r="F959" s="12">
        <v>54</v>
      </c>
      <c r="G959" t="s">
        <v>2474</v>
      </c>
    </row>
    <row r="960" spans="1:7">
      <c r="A960" s="6" t="s">
        <v>5203</v>
      </c>
      <c r="B960" t="s">
        <v>965</v>
      </c>
      <c r="C960" t="s">
        <v>966</v>
      </c>
      <c r="D960" t="s">
        <v>2289</v>
      </c>
      <c r="E960" t="s">
        <v>1128</v>
      </c>
      <c r="F960" s="12">
        <v>59</v>
      </c>
      <c r="G960" t="s">
        <v>2527</v>
      </c>
    </row>
    <row r="961" spans="1:7">
      <c r="A961" s="6" t="s">
        <v>5204</v>
      </c>
      <c r="B961" t="s">
        <v>965</v>
      </c>
      <c r="C961" t="s">
        <v>966</v>
      </c>
      <c r="D961" t="s">
        <v>2290</v>
      </c>
      <c r="E961" t="s">
        <v>1052</v>
      </c>
      <c r="F961" s="12">
        <v>39</v>
      </c>
      <c r="G961" t="s">
        <v>2515</v>
      </c>
    </row>
    <row r="962" spans="1:7">
      <c r="A962" s="6" t="s">
        <v>5205</v>
      </c>
      <c r="B962" t="s">
        <v>965</v>
      </c>
      <c r="C962" t="s">
        <v>966</v>
      </c>
      <c r="D962" t="s">
        <v>2291</v>
      </c>
      <c r="E962" t="s">
        <v>1028</v>
      </c>
      <c r="F962" s="12">
        <v>36</v>
      </c>
      <c r="G962" t="s">
        <v>2473</v>
      </c>
    </row>
    <row r="963" spans="1:7">
      <c r="A963" s="6"/>
    </row>
    <row r="964" spans="1:7">
      <c r="A964" s="6" t="s">
        <v>5206</v>
      </c>
      <c r="B964" t="s">
        <v>965</v>
      </c>
      <c r="C964" t="s">
        <v>966</v>
      </c>
      <c r="D964" t="s">
        <v>2292</v>
      </c>
      <c r="E964" t="s">
        <v>1370</v>
      </c>
      <c r="F964" s="12">
        <v>45</v>
      </c>
      <c r="G964" t="s">
        <v>2470</v>
      </c>
    </row>
    <row r="965" spans="1:7">
      <c r="A965" s="6" t="s">
        <v>5207</v>
      </c>
      <c r="B965" t="s">
        <v>965</v>
      </c>
      <c r="C965" t="s">
        <v>966</v>
      </c>
      <c r="D965" t="s">
        <v>2293</v>
      </c>
      <c r="E965" t="s">
        <v>976</v>
      </c>
      <c r="F965" s="12">
        <v>40</v>
      </c>
      <c r="G965" t="s">
        <v>2489</v>
      </c>
    </row>
    <row r="966" spans="1:7">
      <c r="A966" s="6" t="s">
        <v>5208</v>
      </c>
      <c r="B966" t="s">
        <v>965</v>
      </c>
      <c r="C966" t="s">
        <v>966</v>
      </c>
      <c r="D966" t="s">
        <v>2294</v>
      </c>
      <c r="E966" t="s">
        <v>1202</v>
      </c>
      <c r="F966" s="12">
        <v>26</v>
      </c>
      <c r="G966" t="s">
        <v>2497</v>
      </c>
    </row>
    <row r="967" spans="1:7">
      <c r="A967" s="6" t="s">
        <v>5209</v>
      </c>
      <c r="B967" t="s">
        <v>965</v>
      </c>
      <c r="C967" t="s">
        <v>966</v>
      </c>
      <c r="D967" t="s">
        <v>2295</v>
      </c>
      <c r="E967" t="s">
        <v>1128</v>
      </c>
      <c r="F967" s="12">
        <v>76</v>
      </c>
      <c r="G967" t="s">
        <v>2502</v>
      </c>
    </row>
    <row r="968" spans="1:7">
      <c r="A968" s="6" t="s">
        <v>5210</v>
      </c>
      <c r="B968" t="s">
        <v>965</v>
      </c>
      <c r="C968" t="s">
        <v>966</v>
      </c>
      <c r="D968" t="s">
        <v>2296</v>
      </c>
      <c r="E968" t="s">
        <v>1095</v>
      </c>
      <c r="F968" s="12">
        <v>48</v>
      </c>
      <c r="G968" t="s">
        <v>2478</v>
      </c>
    </row>
    <row r="969" spans="1:7">
      <c r="A969" s="6" t="s">
        <v>5211</v>
      </c>
      <c r="B969" t="s">
        <v>965</v>
      </c>
      <c r="C969" t="s">
        <v>966</v>
      </c>
      <c r="D969" t="s">
        <v>2297</v>
      </c>
      <c r="E969" t="s">
        <v>1202</v>
      </c>
      <c r="F969" s="12">
        <v>41</v>
      </c>
      <c r="G969" t="s">
        <v>2517</v>
      </c>
    </row>
    <row r="970" spans="1:7">
      <c r="A970" s="6" t="s">
        <v>5212</v>
      </c>
      <c r="B970" t="s">
        <v>965</v>
      </c>
      <c r="C970" t="s">
        <v>966</v>
      </c>
      <c r="D970" t="s">
        <v>2298</v>
      </c>
      <c r="E970" t="s">
        <v>1354</v>
      </c>
      <c r="F970" s="12">
        <v>62</v>
      </c>
      <c r="G970" t="s">
        <v>2505</v>
      </c>
    </row>
    <row r="971" spans="1:7">
      <c r="A971" s="6" t="s">
        <v>5213</v>
      </c>
      <c r="B971" t="s">
        <v>965</v>
      </c>
      <c r="C971" t="s">
        <v>966</v>
      </c>
      <c r="D971" t="s">
        <v>2299</v>
      </c>
      <c r="E971" t="s">
        <v>1026</v>
      </c>
      <c r="F971" s="12">
        <v>19</v>
      </c>
      <c r="G971" t="s">
        <v>2483</v>
      </c>
    </row>
    <row r="972" spans="1:7">
      <c r="A972" s="6" t="s">
        <v>5214</v>
      </c>
      <c r="B972" t="s">
        <v>965</v>
      </c>
      <c r="C972" t="s">
        <v>966</v>
      </c>
      <c r="D972" t="s">
        <v>2300</v>
      </c>
      <c r="E972" t="s">
        <v>1095</v>
      </c>
      <c r="F972" s="12">
        <v>30</v>
      </c>
      <c r="G972" t="s">
        <v>2485</v>
      </c>
    </row>
    <row r="973" spans="1:7">
      <c r="A973" s="6" t="s">
        <v>5163</v>
      </c>
      <c r="B973" t="s">
        <v>965</v>
      </c>
      <c r="C973" t="s">
        <v>966</v>
      </c>
      <c r="D973" t="s">
        <v>2301</v>
      </c>
      <c r="E973" t="s">
        <v>1095</v>
      </c>
      <c r="F973" s="12">
        <v>30</v>
      </c>
      <c r="G973" t="s">
        <v>2485</v>
      </c>
    </row>
    <row r="974" spans="1:7">
      <c r="A974" s="6" t="s">
        <v>5215</v>
      </c>
      <c r="B974" t="s">
        <v>965</v>
      </c>
      <c r="C974" t="s">
        <v>966</v>
      </c>
      <c r="D974" t="s">
        <v>2302</v>
      </c>
      <c r="E974" t="s">
        <v>1354</v>
      </c>
      <c r="F974" s="12">
        <v>27</v>
      </c>
      <c r="G974" t="s">
        <v>2509</v>
      </c>
    </row>
    <row r="975" spans="1:7">
      <c r="A975" s="6" t="s">
        <v>5216</v>
      </c>
      <c r="B975" t="s">
        <v>965</v>
      </c>
      <c r="C975" t="s">
        <v>966</v>
      </c>
      <c r="D975" t="s">
        <v>2303</v>
      </c>
      <c r="E975" t="s">
        <v>1370</v>
      </c>
      <c r="F975" s="12">
        <v>26</v>
      </c>
      <c r="G975" t="s">
        <v>2497</v>
      </c>
    </row>
    <row r="976" spans="1:7">
      <c r="A976" s="6" t="s">
        <v>5217</v>
      </c>
      <c r="B976" t="s">
        <v>965</v>
      </c>
      <c r="C976" t="s">
        <v>966</v>
      </c>
      <c r="D976" t="s">
        <v>2304</v>
      </c>
      <c r="E976" t="s">
        <v>1370</v>
      </c>
      <c r="F976" s="12">
        <v>21</v>
      </c>
      <c r="G976" t="s">
        <v>2516</v>
      </c>
    </row>
    <row r="977" spans="1:7">
      <c r="A977" s="6" t="s">
        <v>5218</v>
      </c>
      <c r="B977" t="s">
        <v>965</v>
      </c>
      <c r="C977" t="s">
        <v>966</v>
      </c>
      <c r="D977" t="s">
        <v>2305</v>
      </c>
      <c r="E977" t="s">
        <v>1043</v>
      </c>
      <c r="F977" s="12">
        <v>55</v>
      </c>
      <c r="G977" t="s">
        <v>2492</v>
      </c>
    </row>
    <row r="978" spans="1:7">
      <c r="A978" s="6" t="s">
        <v>5219</v>
      </c>
      <c r="B978" t="s">
        <v>965</v>
      </c>
      <c r="C978" t="s">
        <v>966</v>
      </c>
      <c r="D978" t="s">
        <v>2306</v>
      </c>
      <c r="E978" t="s">
        <v>1026</v>
      </c>
      <c r="F978" s="12">
        <v>43</v>
      </c>
      <c r="G978" t="s">
        <v>2494</v>
      </c>
    </row>
    <row r="979" spans="1:7">
      <c r="A979" s="6" t="s">
        <v>5220</v>
      </c>
      <c r="B979" t="s">
        <v>965</v>
      </c>
      <c r="C979" t="s">
        <v>966</v>
      </c>
      <c r="D979" t="s">
        <v>2307</v>
      </c>
      <c r="E979" t="s">
        <v>1354</v>
      </c>
      <c r="F979" s="12">
        <v>27</v>
      </c>
      <c r="G979" t="s">
        <v>2509</v>
      </c>
    </row>
    <row r="980" spans="1:7">
      <c r="A980" s="6" t="s">
        <v>5221</v>
      </c>
      <c r="B980" t="s">
        <v>965</v>
      </c>
      <c r="C980" t="s">
        <v>966</v>
      </c>
      <c r="D980" t="s">
        <v>2308</v>
      </c>
      <c r="E980" t="s">
        <v>1202</v>
      </c>
      <c r="F980" s="12">
        <v>52</v>
      </c>
      <c r="G980" t="s">
        <v>2499</v>
      </c>
    </row>
    <row r="981" spans="1:7">
      <c r="A981" s="6" t="s">
        <v>5222</v>
      </c>
      <c r="B981" t="s">
        <v>965</v>
      </c>
      <c r="C981" t="s">
        <v>966</v>
      </c>
      <c r="D981" t="s">
        <v>2309</v>
      </c>
      <c r="E981" t="s">
        <v>1052</v>
      </c>
      <c r="F981" s="12">
        <v>18</v>
      </c>
      <c r="G981" t="s">
        <v>2477</v>
      </c>
    </row>
    <row r="982" spans="1:7">
      <c r="A982" s="6" t="s">
        <v>5223</v>
      </c>
      <c r="B982" t="s">
        <v>965</v>
      </c>
      <c r="C982" t="s">
        <v>966</v>
      </c>
      <c r="D982" t="s">
        <v>2310</v>
      </c>
      <c r="E982" t="s">
        <v>1095</v>
      </c>
      <c r="F982" s="12">
        <v>51</v>
      </c>
      <c r="G982" t="s">
        <v>2508</v>
      </c>
    </row>
    <row r="983" spans="1:7">
      <c r="A983" s="6" t="s">
        <v>5224</v>
      </c>
      <c r="B983" t="s">
        <v>965</v>
      </c>
      <c r="C983" t="s">
        <v>966</v>
      </c>
      <c r="D983" t="s">
        <v>2311</v>
      </c>
      <c r="E983" t="s">
        <v>1095</v>
      </c>
      <c r="F983" s="12">
        <v>36</v>
      </c>
      <c r="G983" t="s">
        <v>2473</v>
      </c>
    </row>
    <row r="984" spans="1:7">
      <c r="A984" s="6" t="s">
        <v>5225</v>
      </c>
      <c r="B984" t="s">
        <v>965</v>
      </c>
      <c r="C984" t="s">
        <v>966</v>
      </c>
      <c r="D984" t="s">
        <v>2312</v>
      </c>
      <c r="E984" t="s">
        <v>1370</v>
      </c>
      <c r="F984" s="12">
        <v>35</v>
      </c>
      <c r="G984" t="s">
        <v>2491</v>
      </c>
    </row>
    <row r="985" spans="1:7">
      <c r="A985" s="6" t="s">
        <v>5226</v>
      </c>
      <c r="B985" t="s">
        <v>965</v>
      </c>
      <c r="C985" t="s">
        <v>966</v>
      </c>
      <c r="D985" t="s">
        <v>2313</v>
      </c>
      <c r="E985" t="s">
        <v>1095</v>
      </c>
      <c r="F985" s="12">
        <v>45</v>
      </c>
      <c r="G985" t="s">
        <v>2470</v>
      </c>
    </row>
    <row r="986" spans="1:7">
      <c r="A986" s="6" t="s">
        <v>5227</v>
      </c>
      <c r="B986" t="s">
        <v>965</v>
      </c>
      <c r="C986" t="s">
        <v>966</v>
      </c>
      <c r="D986" t="s">
        <v>2314</v>
      </c>
      <c r="E986" t="s">
        <v>1128</v>
      </c>
      <c r="F986" s="12">
        <v>58</v>
      </c>
      <c r="G986" t="s">
        <v>2518</v>
      </c>
    </row>
    <row r="987" spans="1:7">
      <c r="A987" s="6" t="s">
        <v>5228</v>
      </c>
      <c r="B987" t="s">
        <v>965</v>
      </c>
      <c r="C987" t="s">
        <v>966</v>
      </c>
      <c r="D987" t="s">
        <v>2315</v>
      </c>
      <c r="E987" t="s">
        <v>986</v>
      </c>
      <c r="F987" s="12">
        <v>40</v>
      </c>
      <c r="G987" t="s">
        <v>2489</v>
      </c>
    </row>
    <row r="988" spans="1:7">
      <c r="A988" s="6" t="s">
        <v>5229</v>
      </c>
      <c r="B988" t="s">
        <v>965</v>
      </c>
      <c r="C988" t="s">
        <v>966</v>
      </c>
      <c r="D988" t="s">
        <v>2316</v>
      </c>
      <c r="E988" t="s">
        <v>1043</v>
      </c>
      <c r="F988" s="12">
        <v>56</v>
      </c>
      <c r="G988" t="s">
        <v>2512</v>
      </c>
    </row>
    <row r="989" spans="1:7">
      <c r="A989" s="6" t="s">
        <v>5230</v>
      </c>
      <c r="B989" t="s">
        <v>965</v>
      </c>
      <c r="C989" t="s">
        <v>966</v>
      </c>
      <c r="D989" t="s">
        <v>2317</v>
      </c>
      <c r="E989" t="s">
        <v>1052</v>
      </c>
      <c r="F989" s="12">
        <v>48</v>
      </c>
      <c r="G989" t="s">
        <v>2478</v>
      </c>
    </row>
    <row r="990" spans="1:7">
      <c r="A990" s="6" t="s">
        <v>5231</v>
      </c>
      <c r="B990" t="s">
        <v>965</v>
      </c>
      <c r="C990" t="s">
        <v>966</v>
      </c>
      <c r="D990" t="s">
        <v>2318</v>
      </c>
      <c r="E990" t="s">
        <v>1043</v>
      </c>
      <c r="F990" s="12">
        <v>19</v>
      </c>
      <c r="G990" t="s">
        <v>2483</v>
      </c>
    </row>
    <row r="991" spans="1:7">
      <c r="A991" s="6" t="s">
        <v>5232</v>
      </c>
      <c r="B991" t="s">
        <v>965</v>
      </c>
      <c r="C991" t="s">
        <v>966</v>
      </c>
      <c r="D991" t="s">
        <v>2319</v>
      </c>
      <c r="E991" t="s">
        <v>1128</v>
      </c>
      <c r="F991" s="12">
        <v>37</v>
      </c>
      <c r="G991" t="s">
        <v>2507</v>
      </c>
    </row>
    <row r="992" spans="1:7">
      <c r="A992" s="6" t="s">
        <v>5233</v>
      </c>
      <c r="B992" t="s">
        <v>965</v>
      </c>
      <c r="C992" t="s">
        <v>966</v>
      </c>
      <c r="D992" t="s">
        <v>2320</v>
      </c>
      <c r="E992" t="s">
        <v>968</v>
      </c>
      <c r="F992" s="12">
        <v>35</v>
      </c>
      <c r="G992" t="s">
        <v>2491</v>
      </c>
    </row>
    <row r="993" spans="1:7">
      <c r="A993" s="6" t="s">
        <v>5234</v>
      </c>
      <c r="B993" t="s">
        <v>965</v>
      </c>
      <c r="C993" t="s">
        <v>966</v>
      </c>
      <c r="D993" t="s">
        <v>2321</v>
      </c>
      <c r="E993" t="s">
        <v>1095</v>
      </c>
      <c r="F993" s="12">
        <v>35</v>
      </c>
      <c r="G993" t="s">
        <v>2491</v>
      </c>
    </row>
    <row r="994" spans="1:7">
      <c r="A994" s="6"/>
    </row>
    <row r="995" spans="1:7">
      <c r="A995" s="6" t="s">
        <v>2322</v>
      </c>
      <c r="B995" t="s">
        <v>965</v>
      </c>
      <c r="C995" t="s">
        <v>966</v>
      </c>
      <c r="D995" t="s">
        <v>2323</v>
      </c>
      <c r="E995" t="s">
        <v>1354</v>
      </c>
      <c r="F995" s="12">
        <v>28</v>
      </c>
      <c r="G995" t="s">
        <v>2487</v>
      </c>
    </row>
    <row r="996" spans="1:7">
      <c r="A996" s="6" t="s">
        <v>2324</v>
      </c>
      <c r="B996" t="s">
        <v>965</v>
      </c>
      <c r="C996" t="s">
        <v>966</v>
      </c>
      <c r="D996" t="s">
        <v>2325</v>
      </c>
      <c r="E996" t="s">
        <v>1117</v>
      </c>
      <c r="F996" s="12">
        <v>52</v>
      </c>
      <c r="G996" t="s">
        <v>2499</v>
      </c>
    </row>
    <row r="997" spans="1:7">
      <c r="A997" s="6" t="s">
        <v>2326</v>
      </c>
      <c r="B997" t="s">
        <v>965</v>
      </c>
      <c r="C997" t="s">
        <v>966</v>
      </c>
      <c r="D997" t="s">
        <v>2327</v>
      </c>
      <c r="E997" t="s">
        <v>986</v>
      </c>
      <c r="F997" s="12">
        <v>29</v>
      </c>
      <c r="G997" t="s">
        <v>2503</v>
      </c>
    </row>
    <row r="998" spans="1:7">
      <c r="A998" s="6" t="s">
        <v>2328</v>
      </c>
      <c r="B998" t="s">
        <v>965</v>
      </c>
      <c r="C998" t="s">
        <v>966</v>
      </c>
      <c r="D998" t="s">
        <v>2329</v>
      </c>
      <c r="E998" t="s">
        <v>1031</v>
      </c>
      <c r="F998" s="12">
        <v>43</v>
      </c>
      <c r="G998" t="s">
        <v>2494</v>
      </c>
    </row>
    <row r="999" spans="1:7">
      <c r="A999" s="6" t="s">
        <v>2330</v>
      </c>
      <c r="B999" t="s">
        <v>965</v>
      </c>
      <c r="C999" t="s">
        <v>966</v>
      </c>
      <c r="D999" t="s">
        <v>2331</v>
      </c>
      <c r="E999" t="s">
        <v>1354</v>
      </c>
      <c r="F999" s="12">
        <v>62</v>
      </c>
      <c r="G999" t="s">
        <v>2505</v>
      </c>
    </row>
    <row r="1000" spans="1:7">
      <c r="A1000" s="6"/>
    </row>
    <row r="1001" spans="1:7">
      <c r="A1001" s="6" t="s">
        <v>2332</v>
      </c>
      <c r="B1001" t="s">
        <v>965</v>
      </c>
      <c r="C1001" t="s">
        <v>966</v>
      </c>
      <c r="D1001" t="s">
        <v>2333</v>
      </c>
      <c r="E1001" t="s">
        <v>1117</v>
      </c>
      <c r="F1001" s="12">
        <v>42</v>
      </c>
      <c r="G1001" t="s">
        <v>2486</v>
      </c>
    </row>
    <row r="1002" spans="1:7">
      <c r="A1002" s="6" t="s">
        <v>2334</v>
      </c>
      <c r="B1002" t="s">
        <v>965</v>
      </c>
      <c r="C1002" t="s">
        <v>966</v>
      </c>
      <c r="D1002" t="s">
        <v>2335</v>
      </c>
      <c r="E1002" t="s">
        <v>1031</v>
      </c>
      <c r="F1002" s="12">
        <v>47</v>
      </c>
      <c r="G1002" t="s">
        <v>2495</v>
      </c>
    </row>
    <row r="1003" spans="1:7">
      <c r="A1003" s="6"/>
    </row>
    <row r="1004" spans="1:7">
      <c r="A1004" s="6" t="s">
        <v>2336</v>
      </c>
      <c r="B1004" t="s">
        <v>965</v>
      </c>
      <c r="C1004" t="s">
        <v>966</v>
      </c>
      <c r="D1004" t="s">
        <v>2337</v>
      </c>
      <c r="E1004" t="s">
        <v>1026</v>
      </c>
      <c r="F1004" s="12">
        <v>19</v>
      </c>
      <c r="G1004" t="s">
        <v>2483</v>
      </c>
    </row>
    <row r="1005" spans="1:7">
      <c r="A1005" s="6" t="s">
        <v>572</v>
      </c>
      <c r="B1005" t="s">
        <v>965</v>
      </c>
      <c r="C1005" t="s">
        <v>966</v>
      </c>
      <c r="D1005" t="s">
        <v>2338</v>
      </c>
      <c r="E1005" t="s">
        <v>1031</v>
      </c>
      <c r="F1005" s="12">
        <v>46</v>
      </c>
      <c r="G1005" t="s">
        <v>2504</v>
      </c>
    </row>
    <row r="1006" spans="1:7">
      <c r="A1006" s="6" t="s">
        <v>2339</v>
      </c>
      <c r="B1006" t="s">
        <v>965</v>
      </c>
      <c r="C1006" t="s">
        <v>966</v>
      </c>
      <c r="D1006" t="s">
        <v>2340</v>
      </c>
      <c r="E1006" t="s">
        <v>1128</v>
      </c>
      <c r="F1006" s="12">
        <v>26</v>
      </c>
      <c r="G1006" t="s">
        <v>2497</v>
      </c>
    </row>
    <row r="1007" spans="1:7">
      <c r="A1007" s="6" t="s">
        <v>2341</v>
      </c>
      <c r="B1007" t="s">
        <v>965</v>
      </c>
      <c r="C1007" t="s">
        <v>966</v>
      </c>
      <c r="D1007" t="s">
        <v>2342</v>
      </c>
      <c r="E1007" t="s">
        <v>1028</v>
      </c>
      <c r="F1007" s="12">
        <v>38</v>
      </c>
      <c r="G1007" t="s">
        <v>2488</v>
      </c>
    </row>
    <row r="1008" spans="1:7">
      <c r="A1008" s="6" t="s">
        <v>2343</v>
      </c>
      <c r="B1008" t="s">
        <v>965</v>
      </c>
      <c r="C1008" t="s">
        <v>966</v>
      </c>
      <c r="D1008" t="s">
        <v>2344</v>
      </c>
      <c r="E1008" t="s">
        <v>1095</v>
      </c>
      <c r="F1008" s="12">
        <v>50</v>
      </c>
      <c r="G1008" t="s">
        <v>2490</v>
      </c>
    </row>
    <row r="1009" spans="1:7">
      <c r="A1009" s="6" t="s">
        <v>2345</v>
      </c>
      <c r="B1009" t="s">
        <v>965</v>
      </c>
      <c r="C1009" t="s">
        <v>966</v>
      </c>
      <c r="D1009" t="s">
        <v>2346</v>
      </c>
      <c r="E1009" t="s">
        <v>1026</v>
      </c>
      <c r="F1009" s="12">
        <v>43</v>
      </c>
      <c r="G1009" t="s">
        <v>2494</v>
      </c>
    </row>
    <row r="1010" spans="1:7">
      <c r="A1010" s="6"/>
    </row>
    <row r="1011" spans="1:7">
      <c r="A1011" s="6" t="s">
        <v>2347</v>
      </c>
      <c r="B1011" t="s">
        <v>965</v>
      </c>
      <c r="C1011" t="s">
        <v>966</v>
      </c>
      <c r="D1011" t="s">
        <v>2348</v>
      </c>
      <c r="E1011" t="s">
        <v>1095</v>
      </c>
      <c r="F1011" s="12">
        <v>42</v>
      </c>
      <c r="G1011" t="s">
        <v>2486</v>
      </c>
    </row>
    <row r="1012" spans="1:7">
      <c r="A1012" s="6" t="s">
        <v>2349</v>
      </c>
      <c r="B1012" t="s">
        <v>965</v>
      </c>
      <c r="C1012" t="s">
        <v>966</v>
      </c>
      <c r="D1012" t="s">
        <v>2350</v>
      </c>
      <c r="E1012" t="s">
        <v>1028</v>
      </c>
      <c r="F1012" s="12">
        <v>39</v>
      </c>
      <c r="G1012" t="s">
        <v>2515</v>
      </c>
    </row>
    <row r="1013" spans="1:7">
      <c r="A1013" s="6" t="s">
        <v>2351</v>
      </c>
      <c r="B1013" t="s">
        <v>965</v>
      </c>
      <c r="C1013" t="s">
        <v>966</v>
      </c>
      <c r="D1013" t="s">
        <v>2352</v>
      </c>
      <c r="E1013" t="s">
        <v>1128</v>
      </c>
      <c r="F1013" s="12">
        <v>50</v>
      </c>
      <c r="G1013" t="s">
        <v>2490</v>
      </c>
    </row>
    <row r="1014" spans="1:7">
      <c r="A1014" s="6"/>
    </row>
    <row r="1015" spans="1:7">
      <c r="A1015" s="6" t="s">
        <v>4569</v>
      </c>
      <c r="B1015" t="s">
        <v>965</v>
      </c>
      <c r="C1015" t="s">
        <v>966</v>
      </c>
      <c r="D1015" t="s">
        <v>2353</v>
      </c>
      <c r="E1015" t="s">
        <v>1128</v>
      </c>
      <c r="F1015" s="12">
        <v>52</v>
      </c>
      <c r="G1015" t="s">
        <v>2499</v>
      </c>
    </row>
    <row r="1016" spans="1:7">
      <c r="A1016" s="6" t="s">
        <v>4653</v>
      </c>
      <c r="B1016" t="s">
        <v>965</v>
      </c>
      <c r="C1016" t="s">
        <v>966</v>
      </c>
      <c r="D1016" t="s">
        <v>2354</v>
      </c>
      <c r="E1016" t="s">
        <v>1354</v>
      </c>
      <c r="F1016" s="12">
        <v>49</v>
      </c>
      <c r="G1016" t="s">
        <v>2493</v>
      </c>
    </row>
    <row r="1017" spans="1:7">
      <c r="A1017" s="6" t="s">
        <v>4539</v>
      </c>
      <c r="B1017" t="s">
        <v>965</v>
      </c>
      <c r="C1017" t="s">
        <v>966</v>
      </c>
      <c r="D1017" t="s">
        <v>2355</v>
      </c>
      <c r="E1017" t="s">
        <v>1022</v>
      </c>
      <c r="F1017" s="12">
        <v>55</v>
      </c>
      <c r="G1017" t="s">
        <v>2492</v>
      </c>
    </row>
    <row r="1018" spans="1:7">
      <c r="A1018" s="6" t="s">
        <v>4654</v>
      </c>
      <c r="B1018" t="s">
        <v>965</v>
      </c>
      <c r="C1018" t="s">
        <v>966</v>
      </c>
      <c r="D1018" t="s">
        <v>2356</v>
      </c>
      <c r="E1018" t="s">
        <v>976</v>
      </c>
      <c r="F1018" s="12">
        <v>25</v>
      </c>
      <c r="G1018" t="s">
        <v>2513</v>
      </c>
    </row>
    <row r="1019" spans="1:7">
      <c r="A1019" s="6" t="s">
        <v>4559</v>
      </c>
      <c r="B1019" t="s">
        <v>965</v>
      </c>
      <c r="C1019" t="s">
        <v>966</v>
      </c>
      <c r="D1019" t="s">
        <v>2357</v>
      </c>
      <c r="E1019" t="s">
        <v>986</v>
      </c>
      <c r="F1019" s="12">
        <v>47</v>
      </c>
      <c r="G1019" t="s">
        <v>2495</v>
      </c>
    </row>
    <row r="1020" spans="1:7">
      <c r="A1020" s="6" t="s">
        <v>4537</v>
      </c>
      <c r="B1020" t="s">
        <v>965</v>
      </c>
      <c r="C1020" t="s">
        <v>966</v>
      </c>
      <c r="D1020" t="s">
        <v>2358</v>
      </c>
      <c r="E1020" t="s">
        <v>1128</v>
      </c>
      <c r="F1020" s="12">
        <v>51</v>
      </c>
      <c r="G1020" t="s">
        <v>2508</v>
      </c>
    </row>
    <row r="1021" spans="1:7">
      <c r="A1021" s="6" t="s">
        <v>4584</v>
      </c>
      <c r="B1021" t="s">
        <v>965</v>
      </c>
      <c r="C1021" t="s">
        <v>966</v>
      </c>
      <c r="D1021" t="s">
        <v>2359</v>
      </c>
      <c r="E1021" t="s">
        <v>1007</v>
      </c>
      <c r="F1021" s="12">
        <v>40</v>
      </c>
      <c r="G1021" t="s">
        <v>2489</v>
      </c>
    </row>
    <row r="1022" spans="1:7">
      <c r="A1022" s="6" t="s">
        <v>4655</v>
      </c>
      <c r="B1022" t="s">
        <v>965</v>
      </c>
      <c r="C1022" t="s">
        <v>966</v>
      </c>
      <c r="D1022" t="s">
        <v>2360</v>
      </c>
      <c r="E1022" t="s">
        <v>1007</v>
      </c>
      <c r="F1022" s="12">
        <v>24</v>
      </c>
      <c r="G1022" t="s">
        <v>2506</v>
      </c>
    </row>
    <row r="1023" spans="1:7">
      <c r="A1023" s="6" t="s">
        <v>4599</v>
      </c>
      <c r="B1023" t="s">
        <v>965</v>
      </c>
      <c r="C1023" t="s">
        <v>966</v>
      </c>
      <c r="D1023" t="s">
        <v>2361</v>
      </c>
      <c r="E1023" t="s">
        <v>1202</v>
      </c>
      <c r="F1023" s="12">
        <v>50</v>
      </c>
      <c r="G1023" t="s">
        <v>2490</v>
      </c>
    </row>
    <row r="1024" spans="1:7">
      <c r="A1024" s="6" t="s">
        <v>4588</v>
      </c>
      <c r="B1024" t="s">
        <v>965</v>
      </c>
      <c r="C1024" t="s">
        <v>966</v>
      </c>
      <c r="D1024" t="s">
        <v>2362</v>
      </c>
      <c r="E1024" t="s">
        <v>1354</v>
      </c>
      <c r="F1024" s="12">
        <v>47</v>
      </c>
      <c r="G1024" t="s">
        <v>2495</v>
      </c>
    </row>
    <row r="1025" spans="1:7">
      <c r="A1025" s="6" t="s">
        <v>4656</v>
      </c>
      <c r="B1025" t="s">
        <v>965</v>
      </c>
      <c r="C1025" t="s">
        <v>966</v>
      </c>
      <c r="D1025" t="s">
        <v>2363</v>
      </c>
      <c r="E1025" t="s">
        <v>976</v>
      </c>
      <c r="F1025" s="12">
        <v>26</v>
      </c>
      <c r="G1025" t="s">
        <v>2497</v>
      </c>
    </row>
    <row r="1026" spans="1:7">
      <c r="A1026" s="6" t="s">
        <v>4637</v>
      </c>
      <c r="B1026" t="s">
        <v>965</v>
      </c>
      <c r="C1026" t="s">
        <v>966</v>
      </c>
      <c r="D1026" t="s">
        <v>2364</v>
      </c>
      <c r="E1026" t="s">
        <v>976</v>
      </c>
      <c r="F1026" s="12">
        <v>20</v>
      </c>
      <c r="G1026" t="s">
        <v>2481</v>
      </c>
    </row>
    <row r="1027" spans="1:7">
      <c r="A1027" s="6" t="s">
        <v>4700</v>
      </c>
      <c r="B1027" t="s">
        <v>965</v>
      </c>
      <c r="C1027" t="s">
        <v>966</v>
      </c>
      <c r="D1027" t="s">
        <v>2365</v>
      </c>
      <c r="E1027" t="s">
        <v>1014</v>
      </c>
      <c r="F1027" s="12">
        <v>30</v>
      </c>
      <c r="G1027" t="s">
        <v>2485</v>
      </c>
    </row>
    <row r="1028" spans="1:7">
      <c r="A1028" s="6" t="s">
        <v>4658</v>
      </c>
      <c r="B1028" t="s">
        <v>965</v>
      </c>
      <c r="C1028" t="s">
        <v>966</v>
      </c>
      <c r="D1028" t="s">
        <v>2366</v>
      </c>
      <c r="E1028" t="s">
        <v>976</v>
      </c>
      <c r="F1028" s="12">
        <v>34</v>
      </c>
      <c r="G1028" t="s">
        <v>2496</v>
      </c>
    </row>
    <row r="1029" spans="1:7">
      <c r="A1029" s="6" t="s">
        <v>4638</v>
      </c>
      <c r="B1029" t="s">
        <v>965</v>
      </c>
      <c r="C1029" t="s">
        <v>966</v>
      </c>
      <c r="D1029" t="s">
        <v>2367</v>
      </c>
      <c r="E1029" t="s">
        <v>1354</v>
      </c>
      <c r="F1029" s="12">
        <v>29</v>
      </c>
      <c r="G1029" t="s">
        <v>2503</v>
      </c>
    </row>
    <row r="1030" spans="1:7">
      <c r="A1030" s="6" t="s">
        <v>4659</v>
      </c>
      <c r="B1030" t="s">
        <v>965</v>
      </c>
      <c r="C1030" t="s">
        <v>966</v>
      </c>
      <c r="D1030" t="s">
        <v>2368</v>
      </c>
      <c r="E1030" t="s">
        <v>973</v>
      </c>
      <c r="F1030" s="12">
        <v>19</v>
      </c>
      <c r="G1030" t="s">
        <v>2483</v>
      </c>
    </row>
    <row r="1031" spans="1:7">
      <c r="A1031" s="6" t="s">
        <v>4510</v>
      </c>
      <c r="B1031" t="s">
        <v>965</v>
      </c>
      <c r="C1031" t="s">
        <v>966</v>
      </c>
      <c r="D1031" t="s">
        <v>2369</v>
      </c>
      <c r="E1031" t="s">
        <v>986</v>
      </c>
      <c r="F1031" s="12">
        <v>25</v>
      </c>
      <c r="G1031" t="s">
        <v>2513</v>
      </c>
    </row>
    <row r="1032" spans="1:7">
      <c r="A1032" s="6" t="s">
        <v>4639</v>
      </c>
      <c r="B1032" t="s">
        <v>965</v>
      </c>
      <c r="C1032" t="s">
        <v>966</v>
      </c>
      <c r="D1032" t="s">
        <v>2370</v>
      </c>
      <c r="E1032" t="s">
        <v>976</v>
      </c>
    </row>
    <row r="1033" spans="1:7">
      <c r="A1033" s="6" t="s">
        <v>4660</v>
      </c>
      <c r="B1033" t="s">
        <v>965</v>
      </c>
      <c r="C1033" t="s">
        <v>966</v>
      </c>
      <c r="D1033" t="s">
        <v>2371</v>
      </c>
      <c r="E1033" t="s">
        <v>1007</v>
      </c>
      <c r="F1033" s="12">
        <v>56</v>
      </c>
      <c r="G1033" t="s">
        <v>2512</v>
      </c>
    </row>
    <row r="1034" spans="1:7">
      <c r="A1034" s="6" t="s">
        <v>4642</v>
      </c>
      <c r="B1034" t="s">
        <v>965</v>
      </c>
      <c r="C1034" t="s">
        <v>966</v>
      </c>
      <c r="D1034" t="s">
        <v>2372</v>
      </c>
      <c r="E1034" t="s">
        <v>1007</v>
      </c>
      <c r="F1034" s="12">
        <v>43</v>
      </c>
      <c r="G1034" t="s">
        <v>2494</v>
      </c>
    </row>
    <row r="1035" spans="1:7">
      <c r="A1035" s="6" t="s">
        <v>4661</v>
      </c>
      <c r="B1035" t="s">
        <v>965</v>
      </c>
      <c r="C1035" t="s">
        <v>966</v>
      </c>
      <c r="D1035" t="s">
        <v>2373</v>
      </c>
      <c r="E1035" t="s">
        <v>1028</v>
      </c>
      <c r="F1035" s="12">
        <v>45</v>
      </c>
      <c r="G1035" t="s">
        <v>2470</v>
      </c>
    </row>
    <row r="1036" spans="1:7">
      <c r="A1036" s="6" t="s">
        <v>4662</v>
      </c>
      <c r="B1036" t="s">
        <v>965</v>
      </c>
      <c r="C1036" t="s">
        <v>966</v>
      </c>
      <c r="D1036" t="s">
        <v>2374</v>
      </c>
      <c r="E1036" t="s">
        <v>986</v>
      </c>
      <c r="F1036" s="12">
        <v>29</v>
      </c>
      <c r="G1036" t="s">
        <v>2503</v>
      </c>
    </row>
    <row r="1037" spans="1:7" s="13" customFormat="1">
      <c r="A1037" s="19" t="s">
        <v>4663</v>
      </c>
      <c r="B1037" s="13" t="s">
        <v>965</v>
      </c>
      <c r="C1037" s="13" t="s">
        <v>966</v>
      </c>
      <c r="D1037" s="13" t="s">
        <v>2375</v>
      </c>
      <c r="E1037" s="13" t="s">
        <v>986</v>
      </c>
      <c r="F1037" s="38">
        <v>41</v>
      </c>
      <c r="G1037" t="s">
        <v>2517</v>
      </c>
    </row>
    <row r="1038" spans="1:7">
      <c r="A1038" s="6" t="s">
        <v>4664</v>
      </c>
      <c r="B1038" t="s">
        <v>965</v>
      </c>
      <c r="C1038" t="s">
        <v>966</v>
      </c>
      <c r="D1038" t="s">
        <v>2376</v>
      </c>
      <c r="E1038" t="s">
        <v>1128</v>
      </c>
      <c r="F1038" s="12">
        <v>40</v>
      </c>
      <c r="G1038" t="s">
        <v>2489</v>
      </c>
    </row>
    <row r="1039" spans="1:7">
      <c r="A1039" s="6" t="s">
        <v>4646</v>
      </c>
      <c r="B1039" t="s">
        <v>965</v>
      </c>
      <c r="C1039" t="s">
        <v>966</v>
      </c>
      <c r="D1039" t="s">
        <v>2377</v>
      </c>
      <c r="E1039" t="s">
        <v>1007</v>
      </c>
      <c r="F1039" s="12">
        <v>28</v>
      </c>
      <c r="G1039" t="s">
        <v>2487</v>
      </c>
    </row>
    <row r="1040" spans="1:7">
      <c r="A1040" s="6" t="s">
        <v>4533</v>
      </c>
      <c r="B1040" t="s">
        <v>965</v>
      </c>
      <c r="C1040" t="s">
        <v>966</v>
      </c>
      <c r="D1040" t="s">
        <v>2378</v>
      </c>
      <c r="E1040" t="s">
        <v>973</v>
      </c>
      <c r="F1040" s="12">
        <v>45</v>
      </c>
      <c r="G1040" t="s">
        <v>2470</v>
      </c>
    </row>
    <row r="1041" spans="1:7">
      <c r="A1041" s="6" t="s">
        <v>4568</v>
      </c>
      <c r="B1041" t="s">
        <v>965</v>
      </c>
      <c r="C1041" t="s">
        <v>966</v>
      </c>
      <c r="D1041" t="s">
        <v>2379</v>
      </c>
      <c r="E1041" t="s">
        <v>1020</v>
      </c>
      <c r="F1041" s="12">
        <v>56</v>
      </c>
      <c r="G1041" t="s">
        <v>2512</v>
      </c>
    </row>
    <row r="1042" spans="1:7">
      <c r="A1042" s="6" t="s">
        <v>4557</v>
      </c>
      <c r="B1042" t="s">
        <v>965</v>
      </c>
      <c r="C1042" t="s">
        <v>966</v>
      </c>
      <c r="D1042" t="s">
        <v>2380</v>
      </c>
      <c r="E1042" t="s">
        <v>1128</v>
      </c>
      <c r="F1042" s="12">
        <v>39</v>
      </c>
      <c r="G1042" t="s">
        <v>2515</v>
      </c>
    </row>
    <row r="1043" spans="1:7">
      <c r="A1043" s="6"/>
    </row>
    <row r="1044" spans="1:7" s="13" customFormat="1">
      <c r="A1044" s="19" t="s">
        <v>4665</v>
      </c>
      <c r="B1044" s="13" t="s">
        <v>965</v>
      </c>
      <c r="C1044" s="13" t="s">
        <v>966</v>
      </c>
      <c r="D1044" s="13" t="s">
        <v>2381</v>
      </c>
      <c r="E1044" s="13" t="s">
        <v>986</v>
      </c>
      <c r="F1044" s="38">
        <v>40</v>
      </c>
      <c r="G1044" t="s">
        <v>2489</v>
      </c>
    </row>
    <row r="1045" spans="1:7">
      <c r="A1045" s="6" t="s">
        <v>4648</v>
      </c>
      <c r="B1045" t="s">
        <v>965</v>
      </c>
      <c r="C1045" t="s">
        <v>966</v>
      </c>
      <c r="D1045" t="s">
        <v>2382</v>
      </c>
      <c r="E1045" t="s">
        <v>976</v>
      </c>
      <c r="F1045" s="12">
        <v>35</v>
      </c>
      <c r="G1045" t="s">
        <v>2491</v>
      </c>
    </row>
    <row r="1046" spans="1:7">
      <c r="A1046" s="6" t="s">
        <v>4649</v>
      </c>
      <c r="B1046" t="s">
        <v>965</v>
      </c>
      <c r="C1046" t="s">
        <v>966</v>
      </c>
      <c r="D1046" t="s">
        <v>2383</v>
      </c>
      <c r="E1046" t="s">
        <v>976</v>
      </c>
      <c r="F1046" s="12">
        <v>42</v>
      </c>
      <c r="G1046" t="s">
        <v>2486</v>
      </c>
    </row>
    <row r="1047" spans="1:7">
      <c r="A1047" s="6" t="s">
        <v>4666</v>
      </c>
      <c r="B1047" t="s">
        <v>965</v>
      </c>
      <c r="C1047" t="s">
        <v>966</v>
      </c>
      <c r="D1047" t="s">
        <v>2384</v>
      </c>
      <c r="E1047" t="s">
        <v>976</v>
      </c>
      <c r="F1047" s="12">
        <v>24</v>
      </c>
      <c r="G1047" t="s">
        <v>2506</v>
      </c>
    </row>
    <row r="1048" spans="1:7">
      <c r="A1048" s="6" t="s">
        <v>4667</v>
      </c>
      <c r="B1048" t="s">
        <v>965</v>
      </c>
      <c r="C1048" t="s">
        <v>966</v>
      </c>
      <c r="D1048" t="s">
        <v>2385</v>
      </c>
      <c r="E1048" t="s">
        <v>1007</v>
      </c>
      <c r="F1048" s="12">
        <v>37</v>
      </c>
      <c r="G1048" t="s">
        <v>2507</v>
      </c>
    </row>
    <row r="1049" spans="1:7">
      <c r="A1049" s="6" t="s">
        <v>4668</v>
      </c>
      <c r="B1049" t="s">
        <v>965</v>
      </c>
      <c r="C1049" t="s">
        <v>966</v>
      </c>
      <c r="D1049" t="s">
        <v>2386</v>
      </c>
      <c r="E1049" t="s">
        <v>1128</v>
      </c>
      <c r="F1049" s="12">
        <v>39</v>
      </c>
      <c r="G1049" t="s">
        <v>2515</v>
      </c>
    </row>
    <row r="1050" spans="1:7">
      <c r="A1050" s="6" t="s">
        <v>4669</v>
      </c>
      <c r="B1050" t="s">
        <v>965</v>
      </c>
      <c r="C1050" t="s">
        <v>966</v>
      </c>
      <c r="D1050" t="s">
        <v>2387</v>
      </c>
      <c r="E1050" t="s">
        <v>1202</v>
      </c>
      <c r="F1050" s="12">
        <v>60</v>
      </c>
      <c r="G1050" t="s">
        <v>2484</v>
      </c>
    </row>
    <row r="1051" spans="1:7">
      <c r="A1051" s="6" t="s">
        <v>4670</v>
      </c>
      <c r="B1051" t="s">
        <v>965</v>
      </c>
      <c r="C1051" t="s">
        <v>966</v>
      </c>
      <c r="D1051" t="s">
        <v>2388</v>
      </c>
      <c r="E1051" t="s">
        <v>1354</v>
      </c>
      <c r="F1051" s="12">
        <v>25</v>
      </c>
      <c r="G1051" t="s">
        <v>2513</v>
      </c>
    </row>
    <row r="1052" spans="1:7">
      <c r="A1052" s="6" t="s">
        <v>4671</v>
      </c>
      <c r="B1052" t="s">
        <v>965</v>
      </c>
      <c r="C1052" t="s">
        <v>966</v>
      </c>
      <c r="D1052" t="s">
        <v>2389</v>
      </c>
      <c r="E1052" t="s">
        <v>1128</v>
      </c>
      <c r="F1052" s="12">
        <v>50</v>
      </c>
      <c r="G1052" t="s">
        <v>2490</v>
      </c>
    </row>
    <row r="1053" spans="1:7">
      <c r="A1053" s="6" t="s">
        <v>4501</v>
      </c>
      <c r="B1053" t="s">
        <v>965</v>
      </c>
      <c r="C1053" t="s">
        <v>966</v>
      </c>
      <c r="D1053" t="s">
        <v>2390</v>
      </c>
      <c r="E1053" t="s">
        <v>986</v>
      </c>
      <c r="F1053" s="12">
        <v>22</v>
      </c>
      <c r="G1053" t="s">
        <v>2472</v>
      </c>
    </row>
    <row r="1054" spans="1:7">
      <c r="A1054" s="6" t="s">
        <v>4651</v>
      </c>
      <c r="B1054" t="s">
        <v>965</v>
      </c>
      <c r="C1054" t="s">
        <v>966</v>
      </c>
      <c r="D1054" t="s">
        <v>2391</v>
      </c>
      <c r="E1054" t="s">
        <v>986</v>
      </c>
      <c r="F1054" s="12">
        <v>41</v>
      </c>
      <c r="G1054" t="s">
        <v>2517</v>
      </c>
    </row>
    <row r="1055" spans="1:7">
      <c r="A1055" s="6" t="s">
        <v>4652</v>
      </c>
      <c r="B1055" t="s">
        <v>965</v>
      </c>
      <c r="C1055" t="s">
        <v>966</v>
      </c>
      <c r="D1055" t="s">
        <v>2392</v>
      </c>
      <c r="E1055" t="s">
        <v>976</v>
      </c>
      <c r="F1055" s="12">
        <v>26</v>
      </c>
      <c r="G1055" t="s">
        <v>2497</v>
      </c>
    </row>
    <row r="1056" spans="1:7">
      <c r="A1056" s="6" t="s">
        <v>4672</v>
      </c>
      <c r="B1056" t="s">
        <v>965</v>
      </c>
      <c r="C1056" t="s">
        <v>966</v>
      </c>
      <c r="D1056" t="s">
        <v>2393</v>
      </c>
      <c r="E1056" t="s">
        <v>986</v>
      </c>
      <c r="F1056" s="12">
        <v>28</v>
      </c>
      <c r="G1056" t="s">
        <v>2487</v>
      </c>
    </row>
    <row r="1057" spans="1:7">
      <c r="A1057" s="6" t="s">
        <v>4673</v>
      </c>
      <c r="B1057" t="s">
        <v>965</v>
      </c>
      <c r="C1057" t="s">
        <v>966</v>
      </c>
      <c r="D1057" t="s">
        <v>2394</v>
      </c>
      <c r="E1057" t="s">
        <v>1202</v>
      </c>
      <c r="F1057" s="12">
        <v>38</v>
      </c>
      <c r="G1057" t="s">
        <v>2488</v>
      </c>
    </row>
    <row r="1058" spans="1:7">
      <c r="A1058" s="6" t="s">
        <v>4674</v>
      </c>
      <c r="B1058" t="s">
        <v>965</v>
      </c>
      <c r="C1058" t="s">
        <v>966</v>
      </c>
      <c r="D1058" t="s">
        <v>2395</v>
      </c>
      <c r="E1058" t="s">
        <v>1128</v>
      </c>
      <c r="F1058" s="12">
        <v>40</v>
      </c>
      <c r="G1058" t="s">
        <v>2489</v>
      </c>
    </row>
    <row r="1059" spans="1:7">
      <c r="A1059" s="6" t="s">
        <v>4548</v>
      </c>
      <c r="B1059" t="s">
        <v>965</v>
      </c>
      <c r="C1059" t="s">
        <v>966</v>
      </c>
      <c r="D1059" t="s">
        <v>2396</v>
      </c>
      <c r="E1059" t="s">
        <v>976</v>
      </c>
      <c r="F1059" s="12">
        <v>22</v>
      </c>
      <c r="G1059" t="s">
        <v>2472</v>
      </c>
    </row>
    <row r="1060" spans="1:7">
      <c r="A1060" s="6" t="s">
        <v>4675</v>
      </c>
      <c r="B1060" t="s">
        <v>965</v>
      </c>
      <c r="C1060" t="s">
        <v>966</v>
      </c>
      <c r="D1060" t="s">
        <v>2397</v>
      </c>
      <c r="E1060" t="s">
        <v>976</v>
      </c>
      <c r="F1060" s="12">
        <v>20</v>
      </c>
      <c r="G1060" t="s">
        <v>2481</v>
      </c>
    </row>
    <row r="1061" spans="1:7">
      <c r="A1061" s="6" t="s">
        <v>4676</v>
      </c>
      <c r="B1061" t="s">
        <v>965</v>
      </c>
      <c r="C1061" t="s">
        <v>966</v>
      </c>
      <c r="D1061" t="s">
        <v>2398</v>
      </c>
      <c r="E1061" t="s">
        <v>1128</v>
      </c>
      <c r="F1061" s="12">
        <v>51</v>
      </c>
      <c r="G1061" t="s">
        <v>2508</v>
      </c>
    </row>
    <row r="1062" spans="1:7">
      <c r="A1062" s="6" t="s">
        <v>4676</v>
      </c>
      <c r="B1062" t="s">
        <v>965</v>
      </c>
      <c r="C1062" t="s">
        <v>966</v>
      </c>
      <c r="D1062" t="s">
        <v>2399</v>
      </c>
      <c r="E1062" t="s">
        <v>1007</v>
      </c>
      <c r="F1062" s="12">
        <v>41</v>
      </c>
      <c r="G1062" t="s">
        <v>2517</v>
      </c>
    </row>
    <row r="1063" spans="1:7">
      <c r="A1063" s="6" t="s">
        <v>4583</v>
      </c>
      <c r="B1063" t="s">
        <v>965</v>
      </c>
      <c r="C1063" t="s">
        <v>966</v>
      </c>
      <c r="D1063" t="s">
        <v>2400</v>
      </c>
      <c r="E1063" t="s">
        <v>1354</v>
      </c>
      <c r="F1063" s="12">
        <v>45</v>
      </c>
      <c r="G1063" t="s">
        <v>2470</v>
      </c>
    </row>
    <row r="1064" spans="1:7">
      <c r="A1064" s="6" t="s">
        <v>4677</v>
      </c>
      <c r="B1064" t="s">
        <v>965</v>
      </c>
      <c r="C1064" t="s">
        <v>966</v>
      </c>
      <c r="D1064" t="s">
        <v>2401</v>
      </c>
      <c r="E1064" t="s">
        <v>1354</v>
      </c>
      <c r="F1064" s="12">
        <v>41</v>
      </c>
      <c r="G1064" t="s">
        <v>2517</v>
      </c>
    </row>
    <row r="1065" spans="1:7">
      <c r="A1065" s="6" t="s">
        <v>4678</v>
      </c>
      <c r="B1065" t="s">
        <v>965</v>
      </c>
      <c r="C1065" t="s">
        <v>966</v>
      </c>
      <c r="D1065" t="s">
        <v>2402</v>
      </c>
      <c r="E1065" t="s">
        <v>1007</v>
      </c>
      <c r="F1065" s="12">
        <v>30</v>
      </c>
      <c r="G1065" t="s">
        <v>2485</v>
      </c>
    </row>
    <row r="1066" spans="1:7">
      <c r="A1066" s="6"/>
      <c r="F1066" t="e">
        <v>#VALUE!</v>
      </c>
      <c r="G1066" t="e">
        <v>#VALUE!</v>
      </c>
    </row>
    <row r="1067" spans="1:7">
      <c r="A1067" s="6" t="s">
        <v>2403</v>
      </c>
      <c r="B1067" t="s">
        <v>965</v>
      </c>
      <c r="C1067" t="s">
        <v>966</v>
      </c>
      <c r="D1067" t="s">
        <v>2404</v>
      </c>
      <c r="E1067" t="s">
        <v>1020</v>
      </c>
      <c r="F1067" s="12">
        <v>45</v>
      </c>
      <c r="G1067" t="s">
        <v>2470</v>
      </c>
    </row>
    <row r="1068" spans="1:7">
      <c r="A1068" s="6"/>
      <c r="F1068" t="e">
        <v>#VALUE!</v>
      </c>
      <c r="G1068" t="e">
        <v>#VALUE!</v>
      </c>
    </row>
    <row r="1069" spans="1:7">
      <c r="A1069" s="6" t="s">
        <v>2405</v>
      </c>
      <c r="B1069" t="s">
        <v>965</v>
      </c>
      <c r="C1069" t="s">
        <v>966</v>
      </c>
      <c r="D1069" t="s">
        <v>2406</v>
      </c>
      <c r="E1069" t="s">
        <v>1028</v>
      </c>
      <c r="F1069" s="12">
        <v>18</v>
      </c>
      <c r="G1069" t="s">
        <v>2477</v>
      </c>
    </row>
    <row r="1070" spans="1:7">
      <c r="A1070" s="6" t="s">
        <v>2407</v>
      </c>
      <c r="B1070" t="s">
        <v>965</v>
      </c>
      <c r="C1070" t="s">
        <v>966</v>
      </c>
      <c r="D1070" t="s">
        <v>2408</v>
      </c>
      <c r="E1070" t="s">
        <v>1028</v>
      </c>
      <c r="F1070" s="12">
        <v>22</v>
      </c>
      <c r="G1070" t="s">
        <v>2472</v>
      </c>
    </row>
    <row r="1071" spans="1:7">
      <c r="A1071" s="6" t="s">
        <v>2409</v>
      </c>
      <c r="B1071" t="s">
        <v>965</v>
      </c>
      <c r="C1071" t="s">
        <v>966</v>
      </c>
      <c r="D1071" t="s">
        <v>2410</v>
      </c>
      <c r="E1071" t="s">
        <v>1028</v>
      </c>
      <c r="F1071" s="12">
        <v>50</v>
      </c>
      <c r="G1071" t="s">
        <v>2490</v>
      </c>
    </row>
    <row r="1072" spans="1:7">
      <c r="A1072" s="6"/>
      <c r="F1072" t="e">
        <v>#VALUE!</v>
      </c>
      <c r="G1072" t="e">
        <v>#VALUE!</v>
      </c>
    </row>
    <row r="1073" spans="1:7">
      <c r="A1073" s="6" t="s">
        <v>2411</v>
      </c>
      <c r="B1073" t="s">
        <v>965</v>
      </c>
      <c r="C1073" t="s">
        <v>966</v>
      </c>
      <c r="D1073" t="s">
        <v>2412</v>
      </c>
      <c r="E1073" t="s">
        <v>1028</v>
      </c>
      <c r="F1073" s="12">
        <v>48</v>
      </c>
      <c r="G1073" t="s">
        <v>2478</v>
      </c>
    </row>
    <row r="1074" spans="1:7">
      <c r="A1074" s="6"/>
      <c r="F1074" t="e">
        <v>#VALUE!</v>
      </c>
      <c r="G1074" t="e">
        <v>#VALUE!</v>
      </c>
    </row>
    <row r="1075" spans="1:7">
      <c r="A1075" s="6" t="s">
        <v>2413</v>
      </c>
      <c r="B1075" t="s">
        <v>965</v>
      </c>
      <c r="C1075" t="s">
        <v>966</v>
      </c>
      <c r="D1075" t="s">
        <v>2414</v>
      </c>
      <c r="E1075" t="s">
        <v>986</v>
      </c>
      <c r="F1075" s="12">
        <v>25</v>
      </c>
      <c r="G1075" t="s">
        <v>2513</v>
      </c>
    </row>
    <row r="1076" spans="1:7">
      <c r="A1076" s="6"/>
      <c r="F1076" t="e">
        <v>#VALUE!</v>
      </c>
      <c r="G1076" t="e">
        <v>#VALUE!</v>
      </c>
    </row>
    <row r="1077" spans="1:7">
      <c r="A1077" s="6" t="s">
        <v>591</v>
      </c>
      <c r="B1077" t="s">
        <v>965</v>
      </c>
      <c r="C1077" t="s">
        <v>966</v>
      </c>
      <c r="D1077" t="s">
        <v>2415</v>
      </c>
      <c r="E1077" t="s">
        <v>1020</v>
      </c>
      <c r="F1077" s="12">
        <v>62</v>
      </c>
      <c r="G1077" t="s">
        <v>2505</v>
      </c>
    </row>
    <row r="1078" spans="1:7">
      <c r="A1078" s="6"/>
      <c r="F1078" t="e">
        <v>#VALUE!</v>
      </c>
      <c r="G1078" t="e">
        <v>#VALUE!</v>
      </c>
    </row>
    <row r="1079" spans="1:7">
      <c r="A1079" s="6" t="s">
        <v>2416</v>
      </c>
      <c r="B1079" t="s">
        <v>965</v>
      </c>
      <c r="C1079" t="s">
        <v>966</v>
      </c>
      <c r="D1079" t="s">
        <v>2417</v>
      </c>
      <c r="E1079" t="s">
        <v>1020</v>
      </c>
      <c r="F1079" s="12">
        <v>42</v>
      </c>
      <c r="G1079" t="s">
        <v>2486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186D6-0988-41DF-9B8A-855E841AA73F}">
  <sheetPr codeName="Лист7"/>
  <dimension ref="A1:A9"/>
  <sheetViews>
    <sheetView workbookViewId="0">
      <selection activeCell="A6" sqref="A6"/>
    </sheetView>
  </sheetViews>
  <sheetFormatPr defaultRowHeight="15"/>
  <cols>
    <col min="1" max="1" width="60.85546875" customWidth="1"/>
  </cols>
  <sheetData>
    <row r="1" spans="1:1">
      <c r="A1" s="36" t="s">
        <v>2422</v>
      </c>
    </row>
    <row r="2" spans="1:1">
      <c r="A2" s="37" t="s">
        <v>2423</v>
      </c>
    </row>
    <row r="3" spans="1:1">
      <c r="A3" s="37" t="s">
        <v>2424</v>
      </c>
    </row>
    <row r="4" spans="1:1">
      <c r="A4" s="37" t="s">
        <v>2425</v>
      </c>
    </row>
    <row r="5" spans="1:1">
      <c r="A5" s="37" t="s">
        <v>2426</v>
      </c>
    </row>
    <row r="6" spans="1:1">
      <c r="A6" s="37" t="s">
        <v>2427</v>
      </c>
    </row>
    <row r="7" spans="1:1">
      <c r="A7" s="37" t="s">
        <v>2428</v>
      </c>
    </row>
    <row r="8" spans="1:1">
      <c r="A8" s="37" t="s">
        <v>2429</v>
      </c>
    </row>
    <row r="9" spans="1:1">
      <c r="A9" s="37" t="s">
        <v>2430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Обработано</vt:lpstr>
      <vt:lpstr>Родившиеся</vt:lpstr>
      <vt:lpstr>Бракосочетавшиеся</vt:lpstr>
      <vt:lpstr>Умершие</vt:lpstr>
      <vt:lpstr>Рев сказки</vt:lpstr>
      <vt:lpstr>Все найденные персоны</vt:lpstr>
      <vt:lpstr>Список семей 1920</vt:lpstr>
      <vt:lpstr>Список избирателей</vt:lpstr>
      <vt:lpstr>Деревни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Семья</dc:creator>
  <cp:lastModifiedBy>Денис Байков</cp:lastModifiedBy>
  <dcterms:created xsi:type="dcterms:W3CDTF">2006-09-16T00:00:00Z</dcterms:created>
  <dcterms:modified xsi:type="dcterms:W3CDTF">2022-09-13T21:49:13Z</dcterms:modified>
</cp:coreProperties>
</file>